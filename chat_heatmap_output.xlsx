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Half-Hour Heatmap" sheetId="2" state="visible" r:id="rId2"/>
    <sheet xmlns:r="http://schemas.openxmlformats.org/officeDocument/2006/relationships" name="Shrinkage Plann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color rgb="00000000"/>
      <sz val="9"/>
    </font>
    <font>
      <name val="Arial"/>
      <b val="1"/>
      <color rgb="001F4E79"/>
      <sz val="11"/>
    </font>
    <font>
      <name val="Arial"/>
      <i val="1"/>
      <color rgb="00595959"/>
      <sz val="9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b val="1"/>
      <color rgb="00375623"/>
      <sz val="10"/>
    </font>
    <font>
      <name val="Arial"/>
      <i val="1"/>
      <color rgb="001F4E79"/>
      <sz val="9"/>
    </font>
    <font>
      <name val="Arial"/>
      <b val="1"/>
      <color rgb="00FFFFFF"/>
      <sz val="12"/>
    </font>
    <font>
      <name val="Arial"/>
      <color rgb="00000000"/>
      <sz val="8"/>
    </font>
    <font>
      <name val="Arial"/>
      <color rgb="00FFFFFF"/>
      <sz val="8"/>
    </font>
    <font>
      <name val="Arial"/>
      <b val="1"/>
      <color rgb="00833C00"/>
      <sz val="9"/>
    </font>
    <font>
      <name val="Arial"/>
      <b val="1"/>
      <sz val="9"/>
    </font>
    <font>
      <name val="Arial"/>
      <sz val="8"/>
    </font>
    <font>
      <name val="Arial"/>
      <i val="1"/>
      <color rgb="00000000"/>
      <sz val="7"/>
    </font>
    <font>
      <name val="Arial"/>
      <b val="1"/>
      <color rgb="00FFFFFF"/>
      <sz val="11"/>
    </font>
    <font>
      <name val="Arial"/>
      <b val="1"/>
      <color rgb="00922B21"/>
      <sz val="9"/>
    </font>
    <font>
      <name val="Arial"/>
      <b val="1"/>
      <color rgb="001A5276"/>
      <sz val="9"/>
    </font>
    <font>
      <name val="Arial"/>
      <b val="1"/>
      <color rgb="007B241C"/>
      <sz val="9"/>
    </font>
    <font>
      <name val="Arial"/>
      <i val="1"/>
      <color rgb="00000000"/>
      <sz val="8"/>
    </font>
  </fonts>
  <fills count="10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375623"/>
      </patternFill>
    </fill>
    <fill>
      <patternFill patternType="solid">
        <fgColor rgb="00EBF5FB"/>
      </patternFill>
    </fill>
    <fill>
      <patternFill patternType="solid">
        <fgColor rgb="00E2EFDA"/>
      </patternFill>
    </fill>
    <fill>
      <patternFill patternType="solid">
        <fgColor rgb="00833C00"/>
      </patternFill>
    </fill>
    <fill>
      <patternFill patternType="solid">
        <fgColor rgb="00FF8139"/>
      </patternFill>
    </fill>
    <fill>
      <patternFill patternType="solid">
        <fgColor rgb="00F33600"/>
      </patternFill>
    </fill>
    <fill>
      <patternFill patternType="solid">
        <fgColor rgb="00FF5711"/>
      </patternFill>
    </fill>
    <fill>
      <patternFill patternType="solid">
        <fgColor rgb="00FFC4AB"/>
      </patternFill>
    </fill>
    <fill>
      <patternFill patternType="solid">
        <fgColor rgb="00FF7A33"/>
      </patternFill>
    </fill>
    <fill>
      <patternFill patternType="solid">
        <fgColor rgb="00FFAE7F"/>
      </patternFill>
    </fill>
    <fill>
      <patternFill patternType="solid">
        <fgColor rgb="00FF9E60"/>
      </patternFill>
    </fill>
    <fill>
      <patternFill patternType="solid">
        <fgColor rgb="00FF8C43"/>
      </patternFill>
    </fill>
    <fill>
      <patternFill patternType="solid">
        <fgColor rgb="00FCE4D6"/>
      </patternFill>
    </fill>
    <fill>
      <patternFill patternType="solid">
        <fgColor rgb="00F0F0F0"/>
      </patternFill>
    </fill>
    <fill>
      <patternFill patternType="solid">
        <fgColor rgb="00FFB995"/>
      </patternFill>
    </fill>
    <fill>
      <patternFill patternType="solid">
        <fgColor rgb="00FB3F00"/>
      </patternFill>
    </fill>
    <fill>
      <patternFill patternType="solid">
        <fgColor rgb="00FF9C5B"/>
      </patternFill>
    </fill>
    <fill>
      <patternFill patternType="solid">
        <fgColor rgb="00FFCDBD"/>
      </patternFill>
    </fill>
    <fill>
      <patternFill patternType="solid">
        <fgColor rgb="00FF954E"/>
      </patternFill>
    </fill>
    <fill>
      <patternFill patternType="solid">
        <fgColor rgb="00FFA771"/>
      </patternFill>
    </fill>
    <fill>
      <patternFill patternType="solid">
        <fgColor rgb="00FF5E18"/>
      </patternFill>
    </fill>
    <fill>
      <patternFill patternType="solid">
        <fgColor rgb="00FFCFC1"/>
      </patternFill>
    </fill>
    <fill>
      <patternFill patternType="solid">
        <fgColor rgb="00FFE6EF"/>
      </patternFill>
    </fill>
    <fill>
      <patternFill patternType="solid">
        <fgColor rgb="00FFA976"/>
      </patternFill>
    </fill>
    <fill>
      <patternFill patternType="solid">
        <fgColor rgb="00FFB48C"/>
      </patternFill>
    </fill>
    <fill>
      <patternFill patternType="solid">
        <fgColor rgb="00FF651F"/>
      </patternFill>
    </fill>
    <fill>
      <patternFill patternType="solid">
        <fgColor rgb="00FFA064"/>
      </patternFill>
    </fill>
    <fill>
      <patternFill patternType="solid">
        <fgColor rgb="00FFE7F2"/>
      </patternFill>
    </fill>
    <fill>
      <patternFill patternType="solid">
        <fgColor rgb="00FFBD9E"/>
      </patternFill>
    </fill>
    <fill>
      <patternFill patternType="solid">
        <fgColor rgb="00FFB083"/>
      </patternFill>
    </fill>
    <fill>
      <patternFill patternType="solid">
        <fgColor rgb="00FFD4CC"/>
      </patternFill>
    </fill>
    <fill>
      <patternFill patternType="solid">
        <fgColor rgb="00FFDFE1"/>
      </patternFill>
    </fill>
    <fill>
      <patternFill patternType="solid">
        <fgColor rgb="00FFBB99"/>
      </patternFill>
    </fill>
    <fill>
      <patternFill patternType="solid">
        <fgColor rgb="00FFDBDA"/>
      </patternFill>
    </fill>
    <fill>
      <patternFill patternType="solid">
        <fgColor rgb="00FF8F47"/>
      </patternFill>
    </fill>
    <fill>
      <patternFill patternType="solid">
        <fgColor rgb="00FBEDFF"/>
      </patternFill>
    </fill>
    <fill>
      <patternFill patternType="solid">
        <fgColor rgb="00FFC9B6"/>
      </patternFill>
    </fill>
    <fill>
      <patternFill patternType="solid">
        <fgColor rgb="00FF8840"/>
      </patternFill>
    </fill>
    <fill>
      <patternFill patternType="solid">
        <fgColor rgb="00FFE0E4"/>
      </patternFill>
    </fill>
    <fill>
      <patternFill patternType="solid">
        <fgColor rgb="00F3EBFF"/>
      </patternFill>
    </fill>
    <fill>
      <patternFill patternType="solid">
        <fgColor rgb="00FFC6AF"/>
      </patternFill>
    </fill>
    <fill>
      <patternFill patternType="solid">
        <fgColor rgb="00FF9A57"/>
      </patternFill>
    </fill>
    <fill>
      <patternFill patternType="solid">
        <fgColor rgb="00FFA369"/>
      </patternFill>
    </fill>
    <fill>
      <patternFill patternType="solid">
        <fgColor rgb="00FFEDFD"/>
      </patternFill>
    </fill>
    <fill>
      <patternFill patternType="solid">
        <fgColor rgb="00FFD2C8"/>
      </patternFill>
    </fill>
    <fill>
      <patternFill patternType="solid">
        <fgColor rgb="00FFD0C4"/>
      </patternFill>
    </fill>
    <fill>
      <patternFill patternType="solid">
        <fgColor rgb="00FFD9D6"/>
      </patternFill>
    </fill>
    <fill>
      <patternFill patternType="solid">
        <fgColor rgb="00FFD6CF"/>
      </patternFill>
    </fill>
    <fill>
      <patternFill patternType="solid">
        <fgColor rgb="00FFE9F6"/>
      </patternFill>
    </fill>
    <fill>
      <patternFill patternType="solid">
        <fgColor rgb="00E1E7FF"/>
      </patternFill>
    </fill>
    <fill>
      <patternFill patternType="solid">
        <fgColor rgb="00FFBFA2"/>
      </patternFill>
    </fill>
    <fill>
      <patternFill patternType="solid">
        <fgColor rgb="00FFE4EB"/>
      </patternFill>
    </fill>
    <fill>
      <patternFill patternType="solid">
        <fgColor rgb="00FFCBBA"/>
      </patternFill>
    </fill>
    <fill>
      <patternFill patternType="solid">
        <fgColor rgb="00EDEAFF"/>
      </patternFill>
    </fill>
    <fill>
      <patternFill patternType="solid">
        <fgColor rgb="00D2E4FF"/>
      </patternFill>
    </fill>
    <fill>
      <patternFill patternType="solid">
        <fgColor rgb="00FFD8D3"/>
      </patternFill>
    </fill>
    <fill>
      <patternFill patternType="solid">
        <fgColor rgb="00FFAB7A"/>
      </patternFill>
    </fill>
    <fill>
      <patternFill patternType="solid">
        <fgColor rgb="00DDE6FF"/>
      </patternFill>
    </fill>
    <fill>
      <patternFill patternType="solid">
        <fgColor rgb="00FFC2A7"/>
      </patternFill>
    </fill>
    <fill>
      <patternFill patternType="solid">
        <fgColor rgb="00E9E9FF"/>
      </patternFill>
    </fill>
    <fill>
      <patternFill patternType="solid">
        <fgColor rgb="00F1EBFF"/>
      </patternFill>
    </fill>
    <fill>
      <patternFill patternType="solid">
        <fgColor rgb="00FFC8B3"/>
      </patternFill>
    </fill>
    <fill>
      <patternFill patternType="solid">
        <fgColor rgb="00FFEBFA"/>
      </patternFill>
    </fill>
    <fill>
      <patternFill patternType="solid">
        <fgColor rgb="00F5EBFF"/>
      </patternFill>
    </fill>
    <fill>
      <patternFill patternType="solid">
        <fgColor rgb="00FFB288"/>
      </patternFill>
    </fill>
    <fill>
      <patternFill patternType="solid">
        <fgColor rgb="00E7E8FF"/>
      </patternFill>
    </fill>
    <fill>
      <patternFill patternType="solid">
        <fgColor rgb="00FFE2E8"/>
      </patternFill>
    </fill>
    <fill>
      <patternFill patternType="solid">
        <fgColor rgb="00FDEDFF"/>
      </patternFill>
    </fill>
    <fill>
      <patternFill patternType="solid">
        <fgColor rgb="00FFDDDD"/>
      </patternFill>
    </fill>
    <fill>
      <patternFill patternType="solid">
        <fgColor rgb="00F9ECFF"/>
      </patternFill>
    </fill>
    <fill>
      <patternFill patternType="solid">
        <fgColor rgb="00FFB690"/>
      </patternFill>
    </fill>
    <fill>
      <patternFill patternType="solid">
        <fgColor rgb="00FFA56D"/>
      </patternFill>
    </fill>
    <fill>
      <patternFill patternType="solid">
        <fgColor rgb="00FF6822"/>
      </patternFill>
    </fill>
    <fill>
      <patternFill patternType="solid">
        <fgColor rgb="00EFEAFF"/>
      </patternFill>
    </fill>
    <fill>
      <patternFill patternType="solid">
        <fgColor rgb="00FF732C"/>
      </patternFill>
    </fill>
    <fill>
      <patternFill patternType="solid">
        <fgColor rgb="00FF6C25"/>
      </patternFill>
    </fill>
    <fill>
      <patternFill patternType="solid">
        <fgColor rgb="00FF6F29"/>
      </patternFill>
    </fill>
    <fill>
      <patternFill patternType="solid">
        <fgColor rgb="00FF934A"/>
      </patternFill>
    </fill>
    <fill>
      <patternFill patternType="solid">
        <fgColor rgb="00E01E00"/>
      </patternFill>
    </fill>
    <fill>
      <patternFill patternType="solid">
        <fgColor rgb="00FF5A15"/>
      </patternFill>
    </fill>
    <fill>
      <patternFill patternType="solid">
        <fgColor rgb="00EA2A00"/>
      </patternFill>
    </fill>
    <fill>
      <patternFill patternType="solid">
        <fgColor rgb="00FF7E36"/>
      </patternFill>
    </fill>
    <fill>
      <patternFill patternType="solid">
        <fgColor rgb="00FF853D"/>
      </patternFill>
    </fill>
    <fill>
      <patternFill patternType="solid">
        <fgColor rgb="00FD4200"/>
      </patternFill>
    </fill>
    <fill>
      <patternFill patternType="solid">
        <fgColor rgb="00D91500"/>
      </patternFill>
    </fill>
    <fill>
      <patternFill patternType="solid">
        <fgColor rgb="00FF4804"/>
      </patternFill>
    </fill>
    <fill>
      <patternFill patternType="solid">
        <fgColor rgb="00FF4C07"/>
      </patternFill>
    </fill>
    <fill>
      <patternFill patternType="solid">
        <fgColor rgb="00FF530E"/>
      </patternFill>
    </fill>
    <fill>
      <patternFill patternType="solid">
        <fgColor rgb="00FF500B"/>
      </patternFill>
    </fill>
    <fill>
      <patternFill patternType="solid">
        <fgColor rgb="00FF762F"/>
      </patternFill>
    </fill>
    <fill>
      <patternFill patternType="solid">
        <fgColor rgb="00EE3000"/>
      </patternFill>
    </fill>
    <fill>
      <patternFill patternType="solid">
        <fgColor rgb="00D61200"/>
      </patternFill>
    </fill>
    <fill>
      <patternFill patternType="solid">
        <fgColor rgb="00F13300"/>
      </patternFill>
    </fill>
    <fill>
      <patternFill patternType="solid">
        <fgColor rgb="00FF611B"/>
      </patternFill>
    </fill>
    <fill>
      <patternFill patternType="solid">
        <fgColor rgb="00DD1B00"/>
      </patternFill>
    </fill>
    <fill>
      <patternFill patternType="solid">
        <fgColor rgb="00E72700"/>
      </patternFill>
    </fill>
    <fill>
      <patternFill patternType="solid">
        <fgColor rgb="00FF9752"/>
      </patternFill>
    </fill>
    <fill>
      <patternFill patternType="solid">
        <fgColor rgb="00C80000"/>
      </patternFill>
    </fill>
    <fill>
      <patternFill patternType="solid">
        <fgColor rgb="00CA0300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9" fontId="6" fillId="6" borderId="1" applyAlignment="1" pivotButton="0" quotePrefix="0" xfId="0">
      <alignment horizontal="center" vertical="center"/>
    </xf>
    <xf numFmtId="0" fontId="9" fillId="7" borderId="0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164" fontId="11" fillId="9" borderId="1" applyAlignment="1" pivotButton="0" quotePrefix="0" xfId="0">
      <alignment horizontal="center" vertical="center"/>
    </xf>
    <xf numFmtId="9" fontId="11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center" vertical="center"/>
    </xf>
    <xf numFmtId="0" fontId="14" fillId="16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center" vertical="center"/>
    </xf>
    <xf numFmtId="0" fontId="10" fillId="18" borderId="1" applyAlignment="1" pivotButton="0" quotePrefix="0" xfId="0">
      <alignment horizontal="center" vertical="center"/>
    </xf>
    <xf numFmtId="164" fontId="16" fillId="19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164" fontId="17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9" fillId="20" borderId="1" applyAlignment="1" pivotButton="0" quotePrefix="0" xfId="0">
      <alignment horizontal="center" vertical="center"/>
    </xf>
    <xf numFmtId="0" fontId="14" fillId="21" borderId="1" applyAlignment="1" pivotButton="0" quotePrefix="0" xfId="0">
      <alignment horizontal="center" vertical="center"/>
    </xf>
    <xf numFmtId="0" fontId="15" fillId="22" borderId="1" applyAlignment="1" pivotButton="0" quotePrefix="0" xfId="0">
      <alignment horizontal="center" vertical="center"/>
    </xf>
    <xf numFmtId="0" fontId="14" fillId="23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4" fillId="24" borderId="1" applyAlignment="1" pivotButton="0" quotePrefix="0" xfId="0">
      <alignment horizontal="center" vertical="center"/>
    </xf>
    <xf numFmtId="0" fontId="10" fillId="25" borderId="1" applyAlignment="1" pivotButton="0" quotePrefix="0" xfId="0">
      <alignment horizontal="center" vertical="center"/>
    </xf>
    <xf numFmtId="0" fontId="14" fillId="26" borderId="1" applyAlignment="1" pivotButton="0" quotePrefix="0" xfId="0">
      <alignment horizontal="center" vertical="center"/>
    </xf>
    <xf numFmtId="0" fontId="15" fillId="27" borderId="1" applyAlignment="1" pivotButton="0" quotePrefix="0" xfId="0">
      <alignment horizontal="center" vertical="center"/>
    </xf>
    <xf numFmtId="0" fontId="14" fillId="28" borderId="1" applyAlignment="1" pivotButton="0" quotePrefix="0" xfId="0">
      <alignment horizontal="center" vertical="center"/>
    </xf>
    <xf numFmtId="0" fontId="14" fillId="29" borderId="1" applyAlignment="1" pivotButton="0" quotePrefix="0" xfId="0">
      <alignment horizontal="center" vertical="center"/>
    </xf>
    <xf numFmtId="0" fontId="14" fillId="30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/>
    </xf>
    <xf numFmtId="0" fontId="14" fillId="31" borderId="1" applyAlignment="1" pivotButton="0" quotePrefix="0" xfId="0">
      <alignment horizontal="center" vertical="center"/>
    </xf>
    <xf numFmtId="0" fontId="14" fillId="32" borderId="1" applyAlignment="1" pivotButton="0" quotePrefix="0" xfId="0">
      <alignment horizontal="center" vertical="center"/>
    </xf>
    <xf numFmtId="0" fontId="14" fillId="33" borderId="1" applyAlignment="1" pivotButton="0" quotePrefix="0" xfId="0">
      <alignment horizontal="center" vertical="center"/>
    </xf>
    <xf numFmtId="0" fontId="14" fillId="34" borderId="1" applyAlignment="1" pivotButton="0" quotePrefix="0" xfId="0">
      <alignment horizontal="center" vertical="center"/>
    </xf>
    <xf numFmtId="0" fontId="14" fillId="35" borderId="1" applyAlignment="1" pivotButton="0" quotePrefix="0" xfId="0">
      <alignment horizontal="center" vertical="center"/>
    </xf>
    <xf numFmtId="0" fontId="14" fillId="36" borderId="1" applyAlignment="1" pivotButton="0" quotePrefix="0" xfId="0">
      <alignment horizontal="center" vertical="center"/>
    </xf>
    <xf numFmtId="0" fontId="14" fillId="37" borderId="1" applyAlignment="1" pivotButton="0" quotePrefix="0" xfId="0">
      <alignment horizontal="center" vertical="center"/>
    </xf>
    <xf numFmtId="0" fontId="14" fillId="38" borderId="1" applyAlignment="1" pivotButton="0" quotePrefix="0" xfId="0">
      <alignment horizontal="center" vertical="center"/>
    </xf>
    <xf numFmtId="0" fontId="10" fillId="39" borderId="1" applyAlignment="1" pivotButton="0" quotePrefix="0" xfId="0">
      <alignment horizontal="center" vertical="center"/>
    </xf>
    <xf numFmtId="0" fontId="14" fillId="40" borderId="1" applyAlignment="1" pivotButton="0" quotePrefix="0" xfId="0">
      <alignment horizontal="center" vertical="center"/>
    </xf>
    <xf numFmtId="0" fontId="14" fillId="41" borderId="1" applyAlignment="1" pivotButton="0" quotePrefix="0" xfId="0">
      <alignment horizontal="center" vertical="center"/>
    </xf>
    <xf numFmtId="0" fontId="14" fillId="42" borderId="1" applyAlignment="1" pivotButton="0" quotePrefix="0" xfId="0">
      <alignment horizontal="center" vertical="center"/>
    </xf>
    <xf numFmtId="0" fontId="10" fillId="35" borderId="1" applyAlignment="1" pivotButton="0" quotePrefix="0" xfId="0">
      <alignment horizontal="center" vertical="center"/>
    </xf>
    <xf numFmtId="0" fontId="14" fillId="43" borderId="1" applyAlignment="1" pivotButton="0" quotePrefix="0" xfId="0">
      <alignment horizontal="center" vertical="center"/>
    </xf>
    <xf numFmtId="0" fontId="14" fillId="44" borderId="1" applyAlignment="1" pivotButton="0" quotePrefix="0" xfId="0">
      <alignment horizontal="center" vertical="center"/>
    </xf>
    <xf numFmtId="0" fontId="14" fillId="45" borderId="1" applyAlignment="1" pivotButton="0" quotePrefix="0" xfId="0">
      <alignment horizontal="center" vertical="center"/>
    </xf>
    <xf numFmtId="0" fontId="14" fillId="46" borderId="1" applyAlignment="1" pivotButton="0" quotePrefix="0" xfId="0">
      <alignment horizontal="center" vertical="center"/>
    </xf>
    <xf numFmtId="0" fontId="10" fillId="43" borderId="1" applyAlignment="1" pivotButton="0" quotePrefix="0" xfId="0">
      <alignment horizontal="center" vertical="center"/>
    </xf>
    <xf numFmtId="0" fontId="14" fillId="47" borderId="1" applyAlignment="1" pivotButton="0" quotePrefix="0" xfId="0">
      <alignment horizontal="center" vertical="center"/>
    </xf>
    <xf numFmtId="0" fontId="14" fillId="48" borderId="1" applyAlignment="1" pivotButton="0" quotePrefix="0" xfId="0">
      <alignment horizontal="center" vertical="center"/>
    </xf>
    <xf numFmtId="0" fontId="14" fillId="49" borderId="1" applyAlignment="1" pivotButton="0" quotePrefix="0" xfId="0">
      <alignment horizontal="center" vertical="center"/>
    </xf>
    <xf numFmtId="0" fontId="14" fillId="50" borderId="1" applyAlignment="1" pivotButton="0" quotePrefix="0" xfId="0">
      <alignment horizontal="center" vertical="center"/>
    </xf>
    <xf numFmtId="0" fontId="14" fillId="51" borderId="1" applyAlignment="1" pivotButton="0" quotePrefix="0" xfId="0">
      <alignment horizontal="center" vertical="center"/>
    </xf>
    <xf numFmtId="0" fontId="14" fillId="52" borderId="1" applyAlignment="1" pivotButton="0" quotePrefix="0" xfId="0">
      <alignment horizontal="center" vertical="center"/>
    </xf>
    <xf numFmtId="0" fontId="14" fillId="53" borderId="1" applyAlignment="1" pivotButton="0" quotePrefix="0" xfId="0">
      <alignment horizontal="center" vertical="center"/>
    </xf>
    <xf numFmtId="0" fontId="14" fillId="54" borderId="1" applyAlignment="1" pivotButton="0" quotePrefix="0" xfId="0">
      <alignment horizontal="center" vertical="center"/>
    </xf>
    <xf numFmtId="0" fontId="14" fillId="55" borderId="1" applyAlignment="1" pivotButton="0" quotePrefix="0" xfId="0">
      <alignment horizontal="center" vertical="center"/>
    </xf>
    <xf numFmtId="0" fontId="14" fillId="56" borderId="1" applyAlignment="1" pivotButton="0" quotePrefix="0" xfId="0">
      <alignment horizontal="center" vertical="center"/>
    </xf>
    <xf numFmtId="0" fontId="10" fillId="53" borderId="1" applyAlignment="1" pivotButton="0" quotePrefix="0" xfId="0">
      <alignment horizontal="center" vertical="center"/>
    </xf>
    <xf numFmtId="0" fontId="14" fillId="57" borderId="1" applyAlignment="1" pivotButton="0" quotePrefix="0" xfId="0">
      <alignment horizontal="center" vertical="center"/>
    </xf>
    <xf numFmtId="0" fontId="14" fillId="58" borderId="1" applyAlignment="1" pivotButton="0" quotePrefix="0" xfId="0">
      <alignment horizontal="center" vertical="center"/>
    </xf>
    <xf numFmtId="0" fontId="14" fillId="59" borderId="1" applyAlignment="1" pivotButton="0" quotePrefix="0" xfId="0">
      <alignment horizontal="center" vertical="center"/>
    </xf>
    <xf numFmtId="0" fontId="14" fillId="60" borderId="1" applyAlignment="1" pivotButton="0" quotePrefix="0" xfId="0">
      <alignment horizontal="center" vertical="center"/>
    </xf>
    <xf numFmtId="0" fontId="14" fillId="61" borderId="1" applyAlignment="1" pivotButton="0" quotePrefix="0" xfId="0">
      <alignment horizontal="center" vertical="center"/>
    </xf>
    <xf numFmtId="0" fontId="10" fillId="45" borderId="1" applyAlignment="1" pivotButton="0" quotePrefix="0" xfId="0">
      <alignment horizontal="center" vertical="center"/>
    </xf>
    <xf numFmtId="0" fontId="14" fillId="62" borderId="1" applyAlignment="1" pivotButton="0" quotePrefix="0" xfId="0">
      <alignment horizontal="center" vertical="center"/>
    </xf>
    <xf numFmtId="0" fontId="10" fillId="62" borderId="1" applyAlignment="1" pivotButton="0" quotePrefix="0" xfId="0">
      <alignment horizontal="center" vertical="center"/>
    </xf>
    <xf numFmtId="0" fontId="14" fillId="63" borderId="1" applyAlignment="1" pivotButton="0" quotePrefix="0" xfId="0">
      <alignment horizontal="center" vertical="center"/>
    </xf>
    <xf numFmtId="0" fontId="14" fillId="64" borderId="1" applyAlignment="1" pivotButton="0" quotePrefix="0" xfId="0">
      <alignment horizontal="center" vertical="center"/>
    </xf>
    <xf numFmtId="0" fontId="10" fillId="54" borderId="1" applyAlignment="1" pivotButton="0" quotePrefix="0" xfId="0">
      <alignment horizontal="center" vertical="center"/>
    </xf>
    <xf numFmtId="0" fontId="14" fillId="65" borderId="1" applyAlignment="1" pivotButton="0" quotePrefix="0" xfId="0">
      <alignment horizontal="center" vertical="center"/>
    </xf>
    <xf numFmtId="0" fontId="14" fillId="66" borderId="1" applyAlignment="1" pivotButton="0" quotePrefix="0" xfId="0">
      <alignment horizontal="center" vertical="center"/>
    </xf>
    <xf numFmtId="0" fontId="10" fillId="47" borderId="1" applyAlignment="1" pivotButton="0" quotePrefix="0" xfId="0">
      <alignment horizontal="center" vertical="center"/>
    </xf>
    <xf numFmtId="0" fontId="14" fillId="67" borderId="1" applyAlignment="1" pivotButton="0" quotePrefix="0" xfId="0">
      <alignment horizontal="center" vertical="center"/>
    </xf>
    <xf numFmtId="0" fontId="10" fillId="51" borderId="1" applyAlignment="1" pivotButton="0" quotePrefix="0" xfId="0">
      <alignment horizontal="center" vertical="center"/>
    </xf>
    <xf numFmtId="0" fontId="14" fillId="68" borderId="1" applyAlignment="1" pivotButton="0" quotePrefix="0" xfId="0">
      <alignment horizontal="center" vertical="center"/>
    </xf>
    <xf numFmtId="0" fontId="14" fillId="69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14" fillId="70" borderId="1" applyAlignment="1" pivotButton="0" quotePrefix="0" xfId="0">
      <alignment horizontal="center" vertical="center"/>
    </xf>
    <xf numFmtId="0" fontId="10" fillId="28" borderId="1" applyAlignment="1" pivotButton="0" quotePrefix="0" xfId="0">
      <alignment horizontal="center" vertical="center"/>
    </xf>
    <xf numFmtId="0" fontId="14" fillId="71" borderId="1" applyAlignment="1" pivotButton="0" quotePrefix="0" xfId="0">
      <alignment horizontal="center" vertical="center"/>
    </xf>
    <xf numFmtId="0" fontId="14" fillId="72" borderId="1" applyAlignment="1" pivotButton="0" quotePrefix="0" xfId="0">
      <alignment horizontal="center" vertical="center"/>
    </xf>
    <xf numFmtId="0" fontId="14" fillId="73" borderId="1" applyAlignment="1" pivotButton="0" quotePrefix="0" xfId="0">
      <alignment horizontal="center" vertical="center"/>
    </xf>
    <xf numFmtId="0" fontId="10" fillId="52" borderId="1" applyAlignment="1" pivotButton="0" quotePrefix="0" xfId="0">
      <alignment horizontal="center" vertical="center"/>
    </xf>
    <xf numFmtId="0" fontId="14" fillId="39" borderId="1" applyAlignment="1" pivotButton="0" quotePrefix="0" xfId="0">
      <alignment horizontal="center" vertical="center"/>
    </xf>
    <xf numFmtId="0" fontId="10" fillId="24" borderId="1" applyAlignment="1" pivotButton="0" quotePrefix="0" xfId="0">
      <alignment horizontal="center" vertical="center"/>
    </xf>
    <xf numFmtId="0" fontId="14" fillId="74" borderId="1" applyAlignment="1" pivotButton="0" quotePrefix="0" xfId="0">
      <alignment horizontal="center" vertical="center"/>
    </xf>
    <xf numFmtId="0" fontId="10" fillId="75" borderId="1" applyAlignment="1" pivotButton="0" quotePrefix="0" xfId="0">
      <alignment horizontal="center" vertical="center"/>
    </xf>
    <xf numFmtId="0" fontId="14" fillId="76" borderId="1" applyAlignment="1" pivotButton="0" quotePrefix="0" xfId="0">
      <alignment horizontal="center" vertical="center"/>
    </xf>
    <xf numFmtId="0" fontId="14" fillId="75" borderId="1" applyAlignment="1" pivotButton="0" quotePrefix="0" xfId="0">
      <alignment horizontal="center" vertical="center"/>
    </xf>
    <xf numFmtId="0" fontId="10" fillId="38" borderId="1" applyAlignment="1" pivotButton="0" quotePrefix="0" xfId="0">
      <alignment horizontal="center" vertical="center"/>
    </xf>
    <xf numFmtId="0" fontId="14" fillId="77" borderId="1" applyAlignment="1" pivotButton="0" quotePrefix="0" xfId="0">
      <alignment horizontal="center" vertical="center"/>
    </xf>
    <xf numFmtId="0" fontId="10" fillId="37" borderId="1" applyAlignment="1" pivotButton="0" quotePrefix="0" xfId="0">
      <alignment horizontal="center" vertical="center"/>
    </xf>
    <xf numFmtId="0" fontId="14" fillId="78" borderId="1" applyAlignment="1" pivotButton="0" quotePrefix="0" xfId="0">
      <alignment horizontal="center" vertical="center"/>
    </xf>
    <xf numFmtId="0" fontId="14" fillId="25" borderId="1" applyAlignment="1" pivotButton="0" quotePrefix="0" xfId="0">
      <alignment horizontal="center" vertical="center"/>
    </xf>
    <xf numFmtId="0" fontId="14" fillId="79" borderId="1" applyAlignment="1" pivotButton="0" quotePrefix="0" xfId="0">
      <alignment horizontal="center" vertical="center"/>
    </xf>
    <xf numFmtId="0" fontId="14" fillId="80" borderId="1" applyAlignment="1" pivotButton="0" quotePrefix="0" xfId="0">
      <alignment horizontal="center" vertical="center"/>
    </xf>
    <xf numFmtId="0" fontId="10" fillId="31" borderId="1" applyAlignment="1" pivotButton="0" quotePrefix="0" xfId="0">
      <alignment horizontal="center" vertical="center"/>
    </xf>
    <xf numFmtId="0" fontId="14" fillId="81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center" vertical="center"/>
    </xf>
    <xf numFmtId="0" fontId="14" fillId="82" borderId="1" applyAlignment="1" pivotButton="0" quotePrefix="0" xfId="0">
      <alignment horizontal="center" vertical="center"/>
    </xf>
    <xf numFmtId="0" fontId="14" fillId="83" borderId="1" applyAlignment="1" pivotButton="0" quotePrefix="0" xfId="0">
      <alignment horizontal="center" vertical="center"/>
    </xf>
    <xf numFmtId="0" fontId="10" fillId="23" borderId="1" applyAlignment="1" pivotButton="0" quotePrefix="0" xfId="0">
      <alignment horizontal="center" vertical="center"/>
    </xf>
    <xf numFmtId="0" fontId="14" fillId="84" borderId="1" applyAlignment="1" pivotButton="0" quotePrefix="0" xfId="0">
      <alignment horizontal="center" vertical="center"/>
    </xf>
    <xf numFmtId="0" fontId="15" fillId="85" borderId="1" applyAlignment="1" pivotButton="0" quotePrefix="0" xfId="0">
      <alignment horizontal="center" vertical="center"/>
    </xf>
    <xf numFmtId="0" fontId="10" fillId="33" borderId="1" applyAlignment="1" pivotButton="0" quotePrefix="0" xfId="0">
      <alignment horizontal="center" vertical="center"/>
    </xf>
    <xf numFmtId="0" fontId="15" fillId="86" borderId="1" applyAlignment="1" pivotButton="0" quotePrefix="0" xfId="0">
      <alignment horizontal="center" vertical="center"/>
    </xf>
    <xf numFmtId="0" fontId="10" fillId="84" borderId="1" applyAlignment="1" pivotButton="0" quotePrefix="0" xfId="0">
      <alignment horizontal="center" vertical="center"/>
    </xf>
    <xf numFmtId="0" fontId="15" fillId="87" borderId="1" applyAlignment="1" pivotButton="0" quotePrefix="0" xfId="0">
      <alignment horizontal="center" vertical="center"/>
    </xf>
    <xf numFmtId="0" fontId="14" fillId="88" borderId="1" applyAlignment="1" pivotButton="0" quotePrefix="0" xfId="0">
      <alignment horizontal="center" vertical="center"/>
    </xf>
    <xf numFmtId="0" fontId="14" fillId="89" borderId="1" applyAlignment="1" pivotButton="0" quotePrefix="0" xfId="0">
      <alignment horizontal="center" vertical="center"/>
    </xf>
    <xf numFmtId="0" fontId="10" fillId="88" borderId="1" applyAlignment="1" pivotButton="0" quotePrefix="0" xfId="0">
      <alignment horizontal="center" vertical="center"/>
    </xf>
    <xf numFmtId="0" fontId="15" fillId="90" borderId="1" applyAlignment="1" pivotButton="0" quotePrefix="0" xfId="0">
      <alignment horizontal="center" vertical="center"/>
    </xf>
    <xf numFmtId="0" fontId="15" fillId="91" borderId="1" applyAlignment="1" pivotButton="0" quotePrefix="0" xfId="0">
      <alignment horizontal="center" vertical="center"/>
    </xf>
    <xf numFmtId="0" fontId="10" fillId="32" borderId="1" applyAlignment="1" pivotButton="0" quotePrefix="0" xfId="0">
      <alignment horizontal="center" vertical="center"/>
    </xf>
    <xf numFmtId="0" fontId="15" fillId="92" borderId="1" applyAlignment="1" pivotButton="0" quotePrefix="0" xfId="0">
      <alignment horizontal="center" vertical="center"/>
    </xf>
    <xf numFmtId="0" fontId="15" fillId="93" borderId="1" applyAlignment="1" pivotButton="0" quotePrefix="0" xfId="0">
      <alignment horizontal="center" vertical="center"/>
    </xf>
    <xf numFmtId="0" fontId="10" fillId="82" borderId="1" applyAlignment="1" pivotButton="0" quotePrefix="0" xfId="0">
      <alignment horizontal="center" vertical="center"/>
    </xf>
    <xf numFmtId="0" fontId="15" fillId="94" borderId="1" applyAlignment="1" pivotButton="0" quotePrefix="0" xfId="0">
      <alignment horizontal="center" vertical="center"/>
    </xf>
    <xf numFmtId="0" fontId="15" fillId="95" borderId="1" applyAlignment="1" pivotButton="0" quotePrefix="0" xfId="0">
      <alignment horizontal="center" vertical="center"/>
    </xf>
    <xf numFmtId="0" fontId="10" fillId="96" borderId="1" applyAlignment="1" pivotButton="0" quotePrefix="0" xfId="0">
      <alignment horizontal="center" vertical="center"/>
    </xf>
    <xf numFmtId="0" fontId="15" fillId="97" borderId="1" applyAlignment="1" pivotButton="0" quotePrefix="0" xfId="0">
      <alignment horizontal="center" vertical="center"/>
    </xf>
    <xf numFmtId="0" fontId="15" fillId="98" borderId="1" applyAlignment="1" pivotButton="0" quotePrefix="0" xfId="0">
      <alignment horizontal="center" vertical="center"/>
    </xf>
    <xf numFmtId="0" fontId="15" fillId="99" borderId="1" applyAlignment="1" pivotButton="0" quotePrefix="0" xfId="0">
      <alignment horizontal="center" vertical="center"/>
    </xf>
    <xf numFmtId="0" fontId="3" fillId="100" borderId="1" applyAlignment="1" pivotButton="0" quotePrefix="0" xfId="0">
      <alignment horizontal="center" vertical="center"/>
    </xf>
    <xf numFmtId="0" fontId="15" fillId="101" borderId="1" applyAlignment="1" pivotButton="0" quotePrefix="0" xfId="0">
      <alignment horizontal="center" vertical="center"/>
    </xf>
    <xf numFmtId="0" fontId="15" fillId="100" borderId="1" applyAlignment="1" pivotButton="0" quotePrefix="0" xfId="0">
      <alignment horizontal="center" vertical="center"/>
    </xf>
    <xf numFmtId="0" fontId="3" fillId="94" borderId="1" applyAlignment="1" pivotButton="0" quotePrefix="0" xfId="0">
      <alignment horizontal="center" vertical="center"/>
    </xf>
    <xf numFmtId="0" fontId="15" fillId="102" borderId="1" applyAlignment="1" pivotButton="0" quotePrefix="0" xfId="0">
      <alignment horizontal="center" vertical="center"/>
    </xf>
    <xf numFmtId="0" fontId="10" fillId="41" borderId="1" applyAlignment="1" pivotButton="0" quotePrefix="0" xfId="0">
      <alignment horizontal="center" vertical="center"/>
    </xf>
    <xf numFmtId="0" fontId="14" fillId="103" borderId="1" applyAlignment="1" pivotButton="0" quotePrefix="0" xfId="0">
      <alignment horizontal="center" vertical="center"/>
    </xf>
    <xf numFmtId="0" fontId="15" fillId="104" borderId="1" applyAlignment="1" pivotButton="0" quotePrefix="0" xfId="0">
      <alignment horizontal="center" vertical="center"/>
    </xf>
    <xf numFmtId="0" fontId="15" fillId="105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0" fillId="79" borderId="1" applyAlignment="1" pivotButton="0" quotePrefix="0" xfId="0">
      <alignment horizontal="center" vertical="center"/>
    </xf>
    <xf numFmtId="0" fontId="20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21" fillId="106" borderId="1" applyAlignment="1" pivotButton="0" quotePrefix="0" xfId="0">
      <alignment horizontal="center" vertical="center"/>
    </xf>
    <xf numFmtId="164" fontId="22" fillId="8" borderId="1" applyAlignment="1" pivotButton="0" quotePrefix="0" xfId="0">
      <alignment horizontal="center" vertical="center"/>
    </xf>
    <xf numFmtId="0" fontId="23" fillId="106" borderId="1" applyAlignment="1" pivotButton="0" quotePrefix="0" xfId="0">
      <alignment horizontal="center" vertical="center"/>
    </xf>
    <xf numFmtId="0" fontId="24" fillId="106" borderId="1" applyAlignment="1" pivotButton="0" quotePrefix="0" xfId="0">
      <alignment horizontal="center" vertical="center"/>
    </xf>
    <xf numFmtId="0" fontId="22" fillId="107" borderId="1" applyAlignment="1" pivotButton="0" quotePrefix="0" xfId="0">
      <alignment horizontal="center" vertical="center"/>
    </xf>
    <xf numFmtId="0" fontId="24" fillId="107" borderId="1" applyAlignment="1" pivotButton="0" quotePrefix="0" xfId="0">
      <alignment horizontal="center" vertical="center"/>
    </xf>
    <xf numFmtId="0" fontId="22" fillId="108" borderId="1" applyAlignment="1" pivotButton="0" quotePrefix="0" xfId="0">
      <alignment horizontal="center" vertical="center"/>
    </xf>
    <xf numFmtId="0" fontId="24" fillId="10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2" customWidth="1" min="4" max="4"/>
    <col width="52" customWidth="1" min="5" max="5"/>
  </cols>
  <sheetData>
    <row r="1" ht="32" customHeight="1">
      <c r="A1" s="1" t="inlineStr">
        <is>
          <t>Configuration Panel  -  Edit yellow cells to recalculate the entire workbook</t>
        </is>
      </c>
    </row>
    <row r="2">
      <c r="A2" s="2" t="inlineStr">
        <is>
          <t>Change the yellow cells. All heatmap and shrinkage calculations update automatically.</t>
        </is>
      </c>
    </row>
    <row r="5">
      <c r="A5" s="3" t="inlineStr">
        <is>
          <t>Named Cell</t>
        </is>
      </c>
      <c r="B5" s="3" t="inlineStr">
        <is>
          <t>Parameter</t>
        </is>
      </c>
      <c r="C5" s="3" t="inlineStr">
        <is>
          <t>Value</t>
        </is>
      </c>
      <c r="D5" s="3" t="inlineStr">
        <is>
          <t>Unit</t>
        </is>
      </c>
      <c r="E5" s="3" t="inlineStr">
        <is>
          <t>Notes</t>
        </is>
      </c>
    </row>
    <row r="6" ht="22" customHeight="1">
      <c r="A6" s="4" t="inlineStr">
        <is>
          <t>AHT</t>
        </is>
      </c>
      <c r="B6" s="5" t="inlineStr">
        <is>
          <t>AHT (Average Handle Time)</t>
        </is>
      </c>
      <c r="C6" s="6" t="n">
        <v>16</v>
      </c>
      <c r="D6" s="7" t="inlineStr">
        <is>
          <t>minutes</t>
        </is>
      </c>
      <c r="E6" s="8" t="inlineStr">
        <is>
          <t>Average time per chat in minutes</t>
        </is>
      </c>
    </row>
    <row r="7" ht="22" customHeight="1">
      <c r="A7" s="4" t="inlineStr">
        <is>
          <t>CONC</t>
        </is>
      </c>
      <c r="B7" s="5" t="inlineStr">
        <is>
          <t>Concurrency</t>
        </is>
      </c>
      <c r="C7" s="6" t="n">
        <v>3</v>
      </c>
      <c r="D7" s="7" t="inlineStr">
        <is>
          <t>chats</t>
        </is>
      </c>
      <c r="E7" s="8" t="inlineStr">
        <is>
          <t>Simultaneous chats per agent. Typical: 2.5-4.0</t>
        </is>
      </c>
    </row>
    <row r="8" ht="22" customHeight="1">
      <c r="A8" s="4" t="inlineStr">
        <is>
          <t>SLOT_MINS</t>
        </is>
      </c>
      <c r="B8" s="5" t="inlineStr">
        <is>
          <t>Slot Size</t>
        </is>
      </c>
      <c r="C8" s="6" t="n">
        <v>30</v>
      </c>
      <c r="D8" s="7" t="inlineStr">
        <is>
          <t>minutes</t>
        </is>
      </c>
      <c r="E8" s="8" t="inlineStr">
        <is>
          <t>Heatmap granularity (30 min recommended)</t>
        </is>
      </c>
    </row>
    <row r="9" ht="22" customHeight="1">
      <c r="A9" s="4" t="inlineStr">
        <is>
          <t>ROSTER</t>
        </is>
      </c>
      <c r="B9" s="5" t="inlineStr">
        <is>
          <t>Rostered Headcount</t>
        </is>
      </c>
      <c r="C9" s="6" t="n">
        <v>39</v>
      </c>
      <c r="D9" s="7" t="inlineStr">
        <is>
          <t>agents</t>
        </is>
      </c>
      <c r="E9" s="8" t="inlineStr">
        <is>
          <t>Total agents on roster</t>
        </is>
      </c>
    </row>
    <row r="10" ht="22" customHeight="1">
      <c r="A10" s="4" t="inlineStr">
        <is>
          <t>UNPLN_PCT</t>
        </is>
      </c>
      <c r="B10" s="5" t="inlineStr">
        <is>
          <t>Unplanned Shrinkage %</t>
        </is>
      </c>
      <c r="C10" s="9" t="n">
        <v>0.1</v>
      </c>
      <c r="D10" s="7" t="inlineStr"/>
      <c r="E10" s="8" t="inlineStr">
        <is>
          <t>Sick calls / no-shows. Benchmark: 8-12%</t>
        </is>
      </c>
    </row>
    <row r="12">
      <c r="A12" s="10" t="inlineStr">
        <is>
          <t>DERIVED VALUES  (auto-calculated - do not edit)</t>
        </is>
      </c>
    </row>
    <row r="13">
      <c r="A13" s="11" t="inlineStr">
        <is>
          <t>Effective Roster</t>
        </is>
      </c>
      <c r="C13" s="12">
        <f>Config!C9*(1-Config!C10)</f>
        <v/>
      </c>
    </row>
    <row r="14">
      <c r="A14" s="11" t="inlineStr">
        <is>
          <t>Shrinkage Ratio</t>
        </is>
      </c>
      <c r="C14" s="13">
        <f>1-Config!C10</f>
        <v/>
      </c>
    </row>
    <row r="15">
      <c r="A15" s="11" t="inlineStr">
        <is>
          <t>Formula note</t>
        </is>
      </c>
      <c r="C15" s="14">
        <f> (Avg Chats x AHT) / Slot_mins / Concurrency</f>
        <v/>
      </c>
    </row>
    <row r="17">
      <c r="A17" s="15" t="inlineStr">
        <is>
          <t>TIP: Change AHT or Concurrency above, press Enter, and Agents Needed updates across all sheets</t>
        </is>
      </c>
    </row>
  </sheetData>
  <mergeCells count="4">
    <mergeCell ref="A2:E2"/>
    <mergeCell ref="A1:E1"/>
    <mergeCell ref="A17:E17"/>
    <mergeCell ref="A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10" customWidth="1" min="10" max="10"/>
    <col width="8" customWidth="1" min="11" max="11"/>
    <col width="7" customWidth="1" min="12" max="12"/>
    <col width="17" customWidth="1" min="13" max="13"/>
    <col width="13" customWidth="1" min="14" max="14"/>
  </cols>
  <sheetData>
    <row r="1" ht="30" customHeight="1">
      <c r="A1" s="16" t="inlineStr">
        <is>
          <t>Chat Volume Heatmap  |  30-Min Slots  |  2026-04-06 to 2026-04-15  |  Edit AHT &amp; Concurrency in Config sheet</t>
        </is>
      </c>
    </row>
    <row r="3" ht="30" customHeight="1">
      <c r="A3" s="3" t="inlineStr">
        <is>
          <t>Slot</t>
        </is>
      </c>
      <c r="B3" s="3" t="inlineStr">
        <is>
          <t>Mon</t>
        </is>
      </c>
      <c r="C3" s="3" t="inlineStr">
        <is>
          <t>Tue</t>
        </is>
      </c>
      <c r="D3" s="3" t="inlineStr">
        <is>
          <t>Wed</t>
        </is>
      </c>
      <c r="E3" s="3" t="inlineStr">
        <is>
          <t>Thu</t>
        </is>
      </c>
      <c r="F3" s="3" t="inlineStr">
        <is>
          <t>Fri</t>
        </is>
      </c>
      <c r="G3" s="3" t="inlineStr">
        <is>
          <t>Sat</t>
        </is>
      </c>
      <c r="H3" s="3" t="inlineStr">
        <is>
          <t>Sun</t>
        </is>
      </c>
      <c r="I3" s="3" t="inlineStr">
        <is>
          <t>Daily
Avg</t>
        </is>
      </c>
      <c r="J3" s="17" t="inlineStr">
        <is>
          <t>Agents
Needed</t>
        </is>
      </c>
      <c r="K3" s="3" t="inlineStr">
        <is>
          <t>Online
(Shift)</t>
        </is>
      </c>
      <c r="L3" s="3" t="inlineStr">
        <is>
          <t>Gap
(+/-)</t>
        </is>
      </c>
      <c r="M3" s="3" t="inlineStr">
        <is>
          <t>Status</t>
        </is>
      </c>
      <c r="N3" s="3" t="inlineStr">
        <is>
          <t>Shift
Window</t>
        </is>
      </c>
    </row>
    <row r="4" ht="16" customHeight="1">
      <c r="A4" s="18" t="inlineStr">
        <is>
          <t>00:00</t>
        </is>
      </c>
      <c r="B4" s="19" t="n">
        <v>102</v>
      </c>
      <c r="C4" s="20" t="n">
        <v>124</v>
      </c>
      <c r="D4" s="21" t="n">
        <v>114</v>
      </c>
      <c r="E4" s="22" t="n">
        <v>75</v>
      </c>
      <c r="F4" s="23" t="n">
        <v>104</v>
      </c>
      <c r="G4" s="24" t="n">
        <v>85</v>
      </c>
      <c r="H4" s="25" t="n">
        <v>92</v>
      </c>
      <c r="I4" s="26" t="n">
        <v>99</v>
      </c>
      <c r="J4" s="27">
        <f>ROUND(I4*Config!C6/Config!C8/Config!C7,1)</f>
        <v/>
      </c>
      <c r="K4" s="28" t="n">
        <v>16</v>
      </c>
      <c r="L4" s="29">
        <f>ROUND(K4-J4,1)</f>
        <v/>
      </c>
      <c r="M4" s="30">
        <f>IF(L4&gt;=3,"Comfortable",IF(L4&gt;=1,"Good",IF(L4&gt;=0,"Tight",IF(L4&gt;=-2,"Under","Critical"))))</f>
        <v/>
      </c>
      <c r="N4" s="31" t="inlineStr">
        <is>
          <t>S3+S4</t>
        </is>
      </c>
    </row>
    <row r="5" ht="16" customHeight="1">
      <c r="A5" s="18" t="inlineStr">
        <is>
          <t>00:30</t>
        </is>
      </c>
      <c r="B5" s="32" t="n">
        <v>80</v>
      </c>
      <c r="C5" s="21" t="n">
        <v>114</v>
      </c>
      <c r="D5" s="33" t="n">
        <v>121</v>
      </c>
      <c r="E5" s="34" t="n">
        <v>93</v>
      </c>
      <c r="F5" s="35" t="n">
        <v>99</v>
      </c>
      <c r="G5" s="36" t="n">
        <v>70</v>
      </c>
      <c r="H5" s="25" t="n">
        <v>92</v>
      </c>
      <c r="I5" s="37" t="n">
        <v>96</v>
      </c>
      <c r="J5" s="27">
        <f>ROUND(I5*Config!C6/Config!C8/Config!C7,1)</f>
        <v/>
      </c>
      <c r="K5" s="28" t="n">
        <v>16</v>
      </c>
      <c r="L5" s="29">
        <f>ROUND(K5-J5,1)</f>
        <v/>
      </c>
      <c r="M5" s="30">
        <f>IF(L5&gt;=3,"Comfortable",IF(L5&gt;=1,"Good",IF(L5&gt;=0,"Tight",IF(L5&gt;=-2,"Under","Critical"))))</f>
        <v/>
      </c>
      <c r="N5" s="31" t="inlineStr">
        <is>
          <t>S3+S4</t>
        </is>
      </c>
    </row>
    <row r="6" ht="16" customHeight="1">
      <c r="A6" s="18" t="inlineStr">
        <is>
          <t>01:00</t>
        </is>
      </c>
      <c r="B6" s="38" t="n">
        <v>88</v>
      </c>
      <c r="C6" s="19" t="n">
        <v>102</v>
      </c>
      <c r="D6" s="39" t="n">
        <v>112</v>
      </c>
      <c r="E6" s="40" t="n">
        <v>69</v>
      </c>
      <c r="F6" s="32" t="n">
        <v>80</v>
      </c>
      <c r="G6" s="41" t="n">
        <v>56</v>
      </c>
      <c r="H6" s="42" t="n">
        <v>87</v>
      </c>
      <c r="I6" s="43" t="n">
        <v>85</v>
      </c>
      <c r="J6" s="27">
        <f>ROUND(I6*Config!C6/Config!C8/Config!C7,1)</f>
        <v/>
      </c>
      <c r="K6" s="28" t="n">
        <v>16</v>
      </c>
      <c r="L6" s="29">
        <f>ROUND(K6-J6,1)</f>
        <v/>
      </c>
      <c r="M6" s="30">
        <f>IF(L6&gt;=3,"Comfortable",IF(L6&gt;=1,"Good",IF(L6&gt;=0,"Tight",IF(L6&gt;=-2,"Under","Critical"))))</f>
        <v/>
      </c>
      <c r="N6" s="31" t="inlineStr">
        <is>
          <t>S3+S4</t>
        </is>
      </c>
    </row>
    <row r="7" ht="16" customHeight="1">
      <c r="A7" s="18" t="inlineStr">
        <is>
          <t>01:30</t>
        </is>
      </c>
      <c r="B7" s="44" t="n">
        <v>82</v>
      </c>
      <c r="C7" s="45" t="n">
        <v>110</v>
      </c>
      <c r="D7" s="32" t="n">
        <v>80</v>
      </c>
      <c r="E7" s="46" t="n">
        <v>91</v>
      </c>
      <c r="F7" s="25" t="n">
        <v>92</v>
      </c>
      <c r="G7" s="47" t="n">
        <v>55</v>
      </c>
      <c r="H7" s="42" t="n">
        <v>87</v>
      </c>
      <c r="I7" s="43" t="n">
        <v>85</v>
      </c>
      <c r="J7" s="27">
        <f>ROUND(I7*Config!C6/Config!C8/Config!C7,1)</f>
        <v/>
      </c>
      <c r="K7" s="28" t="n">
        <v>16</v>
      </c>
      <c r="L7" s="29">
        <f>ROUND(K7-J7,1)</f>
        <v/>
      </c>
      <c r="M7" s="30">
        <f>IF(L7&gt;=3,"Comfortable",IF(L7&gt;=1,"Good",IF(L7&gt;=0,"Tight",IF(L7&gt;=-2,"Under","Critical"))))</f>
        <v/>
      </c>
      <c r="N7" s="31" t="inlineStr">
        <is>
          <t>S3+S4</t>
        </is>
      </c>
    </row>
    <row r="8" ht="16" customHeight="1">
      <c r="A8" s="18" t="inlineStr">
        <is>
          <t>02:00</t>
        </is>
      </c>
      <c r="B8" s="48" t="n">
        <v>78</v>
      </c>
      <c r="C8" s="25" t="n">
        <v>92</v>
      </c>
      <c r="D8" s="25" t="n">
        <v>92</v>
      </c>
      <c r="E8" s="49" t="n">
        <v>84</v>
      </c>
      <c r="F8" s="49" t="n">
        <v>84</v>
      </c>
      <c r="G8" s="50" t="n">
        <v>66</v>
      </c>
      <c r="H8" s="51" t="n">
        <v>60</v>
      </c>
      <c r="I8" s="52" t="n">
        <v>79</v>
      </c>
      <c r="J8" s="27">
        <f>ROUND(I8*Config!C6/Config!C8/Config!C7,1)</f>
        <v/>
      </c>
      <c r="K8" s="28" t="n">
        <v>16</v>
      </c>
      <c r="L8" s="29">
        <f>ROUND(K8-J8,1)</f>
        <v/>
      </c>
      <c r="M8" s="30">
        <f>IF(L8&gt;=3,"Comfortable",IF(L8&gt;=1,"Good",IF(L8&gt;=0,"Tight",IF(L8&gt;=-2,"Under","Critical"))))</f>
        <v/>
      </c>
      <c r="N8" s="31" t="inlineStr">
        <is>
          <t>S3+S4</t>
        </is>
      </c>
    </row>
    <row r="9" ht="16" customHeight="1">
      <c r="A9" s="18" t="inlineStr">
        <is>
          <t>02:30</t>
        </is>
      </c>
      <c r="B9" s="53" t="n">
        <v>62</v>
      </c>
      <c r="C9" s="38" t="n">
        <v>88</v>
      </c>
      <c r="D9" s="54" t="n">
        <v>98</v>
      </c>
      <c r="E9" s="35" t="n">
        <v>99</v>
      </c>
      <c r="F9" s="32" t="n">
        <v>80</v>
      </c>
      <c r="G9" s="55" t="n">
        <v>50</v>
      </c>
      <c r="H9" s="36" t="n">
        <v>70</v>
      </c>
      <c r="I9" s="56" t="n">
        <v>78</v>
      </c>
      <c r="J9" s="27">
        <f>ROUND(I9*Config!C6/Config!C8/Config!C7,1)</f>
        <v/>
      </c>
      <c r="K9" s="28" t="n">
        <v>16</v>
      </c>
      <c r="L9" s="29">
        <f>ROUND(K9-J9,1)</f>
        <v/>
      </c>
      <c r="M9" s="30">
        <f>IF(L9&gt;=3,"Comfortable",IF(L9&gt;=1,"Good",IF(L9&gt;=0,"Tight",IF(L9&gt;=-2,"Under","Critical"))))</f>
        <v/>
      </c>
      <c r="N9" s="31" t="inlineStr">
        <is>
          <t>S3+S4</t>
        </is>
      </c>
    </row>
    <row r="10" ht="16" customHeight="1">
      <c r="A10" s="18" t="inlineStr">
        <is>
          <t>03:00</t>
        </is>
      </c>
      <c r="B10" s="57" t="n">
        <v>72</v>
      </c>
      <c r="C10" s="58" t="n">
        <v>100</v>
      </c>
      <c r="D10" s="19" t="n">
        <v>102</v>
      </c>
      <c r="E10" s="36" t="n">
        <v>70</v>
      </c>
      <c r="F10" s="59" t="n">
        <v>59</v>
      </c>
      <c r="G10" s="60" t="n">
        <v>46</v>
      </c>
      <c r="H10" s="47" t="n">
        <v>55</v>
      </c>
      <c r="I10" s="61" t="n">
        <v>72</v>
      </c>
      <c r="J10" s="27">
        <f>ROUND(I10*Config!C6/Config!C8/Config!C7,1)</f>
        <v/>
      </c>
      <c r="K10" s="28" t="n">
        <v>6</v>
      </c>
      <c r="L10" s="29">
        <f>ROUND(K10-J10,1)</f>
        <v/>
      </c>
      <c r="M10" s="30">
        <f>IF(L10&gt;=3,"Comfortable",IF(L10&gt;=1,"Good",IF(L10&gt;=0,"Tight",IF(L10&gt;=-2,"Under","Critical"))))</f>
        <v/>
      </c>
      <c r="N10" s="31" t="inlineStr">
        <is>
          <t>S4</t>
        </is>
      </c>
    </row>
    <row r="11" ht="16" customHeight="1">
      <c r="A11" s="18" t="inlineStr">
        <is>
          <t>03:30</t>
        </is>
      </c>
      <c r="B11" s="62" t="n">
        <v>74</v>
      </c>
      <c r="C11" s="63" t="n">
        <v>94</v>
      </c>
      <c r="D11" s="64" t="n">
        <v>90</v>
      </c>
      <c r="E11" s="34" t="n">
        <v>93</v>
      </c>
      <c r="F11" s="32" t="n">
        <v>80</v>
      </c>
      <c r="G11" s="65" t="n">
        <v>52</v>
      </c>
      <c r="H11" s="66" t="n">
        <v>67</v>
      </c>
      <c r="I11" s="52" t="n">
        <v>79</v>
      </c>
      <c r="J11" s="27">
        <f>ROUND(I11*Config!C6/Config!C8/Config!C7,1)</f>
        <v/>
      </c>
      <c r="K11" s="28" t="n">
        <v>6</v>
      </c>
      <c r="L11" s="29">
        <f>ROUND(K11-J11,1)</f>
        <v/>
      </c>
      <c r="M11" s="30">
        <f>IF(L11&gt;=3,"Comfortable",IF(L11&gt;=1,"Good",IF(L11&gt;=0,"Tight",IF(L11&gt;=-2,"Under","Critical"))))</f>
        <v/>
      </c>
      <c r="N11" s="31" t="inlineStr">
        <is>
          <t>S4</t>
        </is>
      </c>
    </row>
    <row r="12" ht="16" customHeight="1">
      <c r="A12" s="18" t="inlineStr">
        <is>
          <t>04:00</t>
        </is>
      </c>
      <c r="B12" s="67" t="n">
        <v>68</v>
      </c>
      <c r="C12" s="32" t="n">
        <v>80</v>
      </c>
      <c r="D12" s="68" t="n">
        <v>63</v>
      </c>
      <c r="E12" s="62" t="n">
        <v>74</v>
      </c>
      <c r="F12" s="69" t="n">
        <v>65</v>
      </c>
      <c r="G12" s="70" t="n">
        <v>54</v>
      </c>
      <c r="H12" s="71" t="n">
        <v>37</v>
      </c>
      <c r="I12" s="72" t="n">
        <v>63</v>
      </c>
      <c r="J12" s="27">
        <f>ROUND(I12*Config!C6/Config!C8/Config!C7,1)</f>
        <v/>
      </c>
      <c r="K12" s="28" t="n">
        <v>6</v>
      </c>
      <c r="L12" s="29">
        <f>ROUND(K12-J12,1)</f>
        <v/>
      </c>
      <c r="M12" s="30">
        <f>IF(L12&gt;=3,"Comfortable",IF(L12&gt;=1,"Good",IF(L12&gt;=0,"Tight",IF(L12&gt;=-2,"Under","Critical"))))</f>
        <v/>
      </c>
      <c r="N12" s="31" t="inlineStr">
        <is>
          <t>S4</t>
        </is>
      </c>
    </row>
    <row r="13" ht="16" customHeight="1">
      <c r="A13" s="18" t="inlineStr">
        <is>
          <t>04:30</t>
        </is>
      </c>
      <c r="B13" s="62" t="n">
        <v>74</v>
      </c>
      <c r="C13" s="73" t="n">
        <v>77</v>
      </c>
      <c r="D13" s="53" t="n">
        <v>62</v>
      </c>
      <c r="E13" s="74" t="n">
        <v>57</v>
      </c>
      <c r="F13" s="74" t="n">
        <v>57</v>
      </c>
      <c r="G13" s="60" t="n">
        <v>46</v>
      </c>
      <c r="H13" s="67" t="n">
        <v>68</v>
      </c>
      <c r="I13" s="72" t="n">
        <v>63</v>
      </c>
      <c r="J13" s="27">
        <f>ROUND(I13*Config!C6/Config!C8/Config!C7,1)</f>
        <v/>
      </c>
      <c r="K13" s="28" t="n">
        <v>6</v>
      </c>
      <c r="L13" s="29">
        <f>ROUND(K13-J13,1)</f>
        <v/>
      </c>
      <c r="M13" s="30">
        <f>IF(L13&gt;=3,"Comfortable",IF(L13&gt;=1,"Good",IF(L13&gt;=0,"Tight",IF(L13&gt;=-2,"Under","Critical"))))</f>
        <v/>
      </c>
      <c r="N13" s="31" t="inlineStr">
        <is>
          <t>S4</t>
        </is>
      </c>
    </row>
    <row r="14" ht="16" customHeight="1">
      <c r="A14" s="18" t="inlineStr">
        <is>
          <t>05:00</t>
        </is>
      </c>
      <c r="B14" s="53" t="n">
        <v>62</v>
      </c>
      <c r="C14" s="75" t="n">
        <v>71</v>
      </c>
      <c r="D14" s="48" t="n">
        <v>78</v>
      </c>
      <c r="E14" s="76" t="n">
        <v>43</v>
      </c>
      <c r="F14" s="55" t="n">
        <v>50</v>
      </c>
      <c r="G14" s="77" t="n">
        <v>29</v>
      </c>
      <c r="H14" s="48" t="n">
        <v>78</v>
      </c>
      <c r="I14" s="78" t="n">
        <v>59</v>
      </c>
      <c r="J14" s="27">
        <f>ROUND(I14*Config!C6/Config!C8/Config!C7,1)</f>
        <v/>
      </c>
      <c r="K14" s="28" t="n">
        <v>6</v>
      </c>
      <c r="L14" s="29">
        <f>ROUND(K14-J14,1)</f>
        <v/>
      </c>
      <c r="M14" s="30">
        <f>IF(L14&gt;=3,"Comfortable",IF(L14&gt;=1,"Good",IF(L14&gt;=0,"Tight",IF(L14&gt;=-2,"Under","Critical"))))</f>
        <v/>
      </c>
      <c r="N14" s="31" t="inlineStr">
        <is>
          <t>S4</t>
        </is>
      </c>
    </row>
    <row r="15" ht="16" customHeight="1">
      <c r="A15" s="18" t="inlineStr">
        <is>
          <t>05:30</t>
        </is>
      </c>
      <c r="B15" s="79" t="n">
        <v>64</v>
      </c>
      <c r="C15" s="32" t="n">
        <v>80</v>
      </c>
      <c r="D15" s="48" t="n">
        <v>78</v>
      </c>
      <c r="E15" s="69" t="n">
        <v>65</v>
      </c>
      <c r="F15" s="62" t="n">
        <v>74</v>
      </c>
      <c r="G15" s="71" t="n">
        <v>37</v>
      </c>
      <c r="H15" s="55" t="n">
        <v>50</v>
      </c>
      <c r="I15" s="80" t="n">
        <v>64</v>
      </c>
      <c r="J15" s="27">
        <f>ROUND(I15*Config!C6/Config!C8/Config!C7,1)</f>
        <v/>
      </c>
      <c r="K15" s="28" t="n">
        <v>6</v>
      </c>
      <c r="L15" s="29">
        <f>ROUND(K15-J15,1)</f>
        <v/>
      </c>
      <c r="M15" s="30">
        <f>IF(L15&gt;=3,"Comfortable",IF(L15&gt;=1,"Good",IF(L15&gt;=0,"Tight",IF(L15&gt;=-2,"Under","Critical"))))</f>
        <v/>
      </c>
      <c r="N15" s="31" t="inlineStr">
        <is>
          <t>S4</t>
        </is>
      </c>
    </row>
    <row r="16" ht="16" customHeight="1">
      <c r="A16" s="18" t="inlineStr">
        <is>
          <t>06:00</t>
        </is>
      </c>
      <c r="B16" s="69" t="n">
        <v>65</v>
      </c>
      <c r="C16" s="81" t="n">
        <v>86</v>
      </c>
      <c r="D16" s="75" t="n">
        <v>71</v>
      </c>
      <c r="E16" s="53" t="n">
        <v>62</v>
      </c>
      <c r="F16" s="79" t="n">
        <v>64</v>
      </c>
      <c r="G16" s="82" t="n">
        <v>35</v>
      </c>
      <c r="H16" s="36" t="n">
        <v>70</v>
      </c>
      <c r="I16" s="83" t="n">
        <v>65</v>
      </c>
      <c r="J16" s="27">
        <f>ROUND(I16*Config!C6/Config!C8/Config!C7,1)</f>
        <v/>
      </c>
      <c r="K16" s="28" t="n">
        <v>6</v>
      </c>
      <c r="L16" s="29">
        <f>ROUND(K16-J16,1)</f>
        <v/>
      </c>
      <c r="M16" s="30">
        <f>IF(L16&gt;=3,"Comfortable",IF(L16&gt;=1,"Good",IF(L16&gt;=0,"Tight",IF(L16&gt;=-2,"Under","Critical"))))</f>
        <v/>
      </c>
      <c r="N16" s="31" t="inlineStr">
        <is>
          <t>S4</t>
        </is>
      </c>
    </row>
    <row r="17" ht="16" customHeight="1">
      <c r="A17" s="18" t="inlineStr">
        <is>
          <t>06:30</t>
        </is>
      </c>
      <c r="B17" s="62" t="n">
        <v>74</v>
      </c>
      <c r="C17" s="66" t="n">
        <v>67</v>
      </c>
      <c r="D17" s="57" t="n">
        <v>72</v>
      </c>
      <c r="E17" s="21" t="n">
        <v>114</v>
      </c>
      <c r="F17" s="84" t="n">
        <v>76</v>
      </c>
      <c r="G17" s="85" t="n">
        <v>41</v>
      </c>
      <c r="H17" s="62" t="n">
        <v>74</v>
      </c>
      <c r="I17" s="86" t="n">
        <v>74</v>
      </c>
      <c r="J17" s="27">
        <f>ROUND(I17*Config!C6/Config!C8/Config!C7,1)</f>
        <v/>
      </c>
      <c r="K17" s="28" t="n">
        <v>6</v>
      </c>
      <c r="L17" s="29">
        <f>ROUND(K17-J17,1)</f>
        <v/>
      </c>
      <c r="M17" s="30">
        <f>IF(L17&gt;=3,"Comfortable",IF(L17&gt;=1,"Good",IF(L17&gt;=0,"Tight",IF(L17&gt;=-2,"Under","Critical"))))</f>
        <v/>
      </c>
      <c r="N17" s="31" t="inlineStr">
        <is>
          <t>S4</t>
        </is>
      </c>
    </row>
    <row r="18" ht="16" customHeight="1">
      <c r="A18" s="18" t="inlineStr">
        <is>
          <t>07:00</t>
        </is>
      </c>
      <c r="B18" s="32" t="n">
        <v>80</v>
      </c>
      <c r="C18" s="67" t="n">
        <v>68</v>
      </c>
      <c r="D18" s="75" t="n">
        <v>71</v>
      </c>
      <c r="E18" s="32" t="n">
        <v>80</v>
      </c>
      <c r="F18" s="22" t="n">
        <v>75</v>
      </c>
      <c r="G18" s="55" t="n">
        <v>50</v>
      </c>
      <c r="H18" s="87" t="n">
        <v>45</v>
      </c>
      <c r="I18" s="88" t="n">
        <v>67</v>
      </c>
      <c r="J18" s="27">
        <f>ROUND(I18*Config!C6/Config!C8/Config!C7,1)</f>
        <v/>
      </c>
      <c r="K18" s="28" t="n">
        <v>19</v>
      </c>
      <c r="L18" s="29">
        <f>ROUND(K18-J18,1)</f>
        <v/>
      </c>
      <c r="M18" s="30">
        <f>IF(L18&gt;=3,"Comfortable",IF(L18&gt;=1,"Good",IF(L18&gt;=0,"Tight",IF(L18&gt;=-2,"Under","Critical"))))</f>
        <v/>
      </c>
      <c r="N18" s="31" t="inlineStr">
        <is>
          <t>S1+S4</t>
        </is>
      </c>
    </row>
    <row r="19" ht="16" customHeight="1">
      <c r="A19" s="18" t="inlineStr">
        <is>
          <t>07:30</t>
        </is>
      </c>
      <c r="B19" s="36" t="n">
        <v>70</v>
      </c>
      <c r="C19" s="84" t="n">
        <v>76</v>
      </c>
      <c r="D19" s="40" t="n">
        <v>69</v>
      </c>
      <c r="E19" s="44" t="n">
        <v>82</v>
      </c>
      <c r="F19" s="64" t="n">
        <v>90</v>
      </c>
      <c r="G19" s="51" t="n">
        <v>60</v>
      </c>
      <c r="H19" s="41" t="n">
        <v>56</v>
      </c>
      <c r="I19" s="61" t="n">
        <v>72</v>
      </c>
      <c r="J19" s="27">
        <f>ROUND(I19*Config!C6/Config!C8/Config!C7,1)</f>
        <v/>
      </c>
      <c r="K19" s="28" t="n">
        <v>19</v>
      </c>
      <c r="L19" s="29">
        <f>ROUND(K19-J19,1)</f>
        <v/>
      </c>
      <c r="M19" s="30">
        <f>IF(L19&gt;=3,"Comfortable",IF(L19&gt;=1,"Good",IF(L19&gt;=0,"Tight",IF(L19&gt;=-2,"Under","Critical"))))</f>
        <v/>
      </c>
      <c r="N19" s="31" t="inlineStr">
        <is>
          <t>S1+S4</t>
        </is>
      </c>
    </row>
    <row r="20" ht="16" customHeight="1">
      <c r="A20" s="18" t="inlineStr">
        <is>
          <t>08:00</t>
        </is>
      </c>
      <c r="B20" s="84" t="n">
        <v>76</v>
      </c>
      <c r="C20" s="81" t="n">
        <v>86</v>
      </c>
      <c r="D20" s="44" t="n">
        <v>82</v>
      </c>
      <c r="E20" s="89" t="n">
        <v>73</v>
      </c>
      <c r="F20" s="46" t="n">
        <v>91</v>
      </c>
      <c r="G20" s="90" t="n">
        <v>53</v>
      </c>
      <c r="H20" s="66" t="n">
        <v>67</v>
      </c>
      <c r="I20" s="91" t="n">
        <v>75</v>
      </c>
      <c r="J20" s="27">
        <f>ROUND(I20*Config!C6/Config!C8/Config!C7,1)</f>
        <v/>
      </c>
      <c r="K20" s="28" t="n">
        <v>13</v>
      </c>
      <c r="L20" s="29">
        <f>ROUND(K20-J20,1)</f>
        <v/>
      </c>
      <c r="M20" s="30">
        <f>IF(L20&gt;=3,"Comfortable",IF(L20&gt;=1,"Good",IF(L20&gt;=0,"Tight",IF(L20&gt;=-2,"Under","Critical"))))</f>
        <v/>
      </c>
      <c r="N20" s="31" t="inlineStr">
        <is>
          <t>S1</t>
        </is>
      </c>
    </row>
    <row r="21" ht="16" customHeight="1">
      <c r="A21" s="18" t="inlineStr">
        <is>
          <t>08:30</t>
        </is>
      </c>
      <c r="B21" s="48" t="n">
        <v>78</v>
      </c>
      <c r="C21" s="84" t="n">
        <v>76</v>
      </c>
      <c r="D21" s="36" t="n">
        <v>70</v>
      </c>
      <c r="E21" s="25" t="n">
        <v>92</v>
      </c>
      <c r="F21" s="41" t="n">
        <v>56</v>
      </c>
      <c r="G21" s="92" t="n">
        <v>47</v>
      </c>
      <c r="H21" s="50" t="n">
        <v>66</v>
      </c>
      <c r="I21" s="93" t="n">
        <v>69</v>
      </c>
      <c r="J21" s="27">
        <f>ROUND(I21*Config!C6/Config!C8/Config!C7,1)</f>
        <v/>
      </c>
      <c r="K21" s="28" t="n">
        <v>13</v>
      </c>
      <c r="L21" s="29">
        <f>ROUND(K21-J21,1)</f>
        <v/>
      </c>
      <c r="M21" s="30">
        <f>IF(L21&gt;=3,"Comfortable",IF(L21&gt;=1,"Good",IF(L21&gt;=0,"Tight",IF(L21&gt;=-2,"Under","Critical"))))</f>
        <v/>
      </c>
      <c r="N21" s="31" t="inlineStr">
        <is>
          <t>S1</t>
        </is>
      </c>
    </row>
    <row r="22" ht="16" customHeight="1">
      <c r="A22" s="18" t="inlineStr">
        <is>
          <t>09:00</t>
        </is>
      </c>
      <c r="B22" s="36" t="n">
        <v>70</v>
      </c>
      <c r="C22" s="36" t="n">
        <v>70</v>
      </c>
      <c r="D22" s="66" t="n">
        <v>67</v>
      </c>
      <c r="E22" s="42" t="n">
        <v>87</v>
      </c>
      <c r="F22" s="94" t="n">
        <v>83</v>
      </c>
      <c r="G22" s="95" t="n">
        <v>40</v>
      </c>
      <c r="H22" s="96" t="n">
        <v>58</v>
      </c>
      <c r="I22" s="97" t="n">
        <v>68</v>
      </c>
      <c r="J22" s="27">
        <f>ROUND(I22*Config!C6/Config!C8/Config!C7,1)</f>
        <v/>
      </c>
      <c r="K22" s="28" t="n">
        <v>13</v>
      </c>
      <c r="L22" s="29">
        <f>ROUND(K22-J22,1)</f>
        <v/>
      </c>
      <c r="M22" s="30">
        <f>IF(L22&gt;=3,"Comfortable",IF(L22&gt;=1,"Good",IF(L22&gt;=0,"Tight",IF(L22&gt;=-2,"Under","Critical"))))</f>
        <v/>
      </c>
      <c r="N22" s="31" t="inlineStr">
        <is>
          <t>S1</t>
        </is>
      </c>
    </row>
    <row r="23" ht="16" customHeight="1">
      <c r="A23" s="18" t="inlineStr">
        <is>
          <t>09:30</t>
        </is>
      </c>
      <c r="B23" s="51" t="n">
        <v>60</v>
      </c>
      <c r="C23" s="49" t="n">
        <v>84</v>
      </c>
      <c r="D23" s="32" t="n">
        <v>80</v>
      </c>
      <c r="E23" s="98" t="n">
        <v>79</v>
      </c>
      <c r="F23" s="73" t="n">
        <v>77</v>
      </c>
      <c r="G23" s="55" t="n">
        <v>50</v>
      </c>
      <c r="H23" s="74" t="n">
        <v>57</v>
      </c>
      <c r="I23" s="99" t="n">
        <v>70</v>
      </c>
      <c r="J23" s="27">
        <f>ROUND(I23*Config!C6/Config!C8/Config!C7,1)</f>
        <v/>
      </c>
      <c r="K23" s="28" t="n">
        <v>13</v>
      </c>
      <c r="L23" s="29">
        <f>ROUND(K23-J23,1)</f>
        <v/>
      </c>
      <c r="M23" s="30">
        <f>IF(L23&gt;=3,"Comfortable",IF(L23&gt;=1,"Good",IF(L23&gt;=0,"Tight",IF(L23&gt;=-2,"Under","Critical"))))</f>
        <v/>
      </c>
      <c r="N23" s="31" t="inlineStr">
        <is>
          <t>S1</t>
        </is>
      </c>
    </row>
    <row r="24" ht="16" customHeight="1">
      <c r="A24" s="18" t="inlineStr">
        <is>
          <t>10:00</t>
        </is>
      </c>
      <c r="B24" s="84" t="n">
        <v>76</v>
      </c>
      <c r="C24" s="98" t="n">
        <v>79</v>
      </c>
      <c r="D24" s="36" t="n">
        <v>70</v>
      </c>
      <c r="E24" s="94" t="n">
        <v>83</v>
      </c>
      <c r="F24" s="70" t="n">
        <v>54</v>
      </c>
      <c r="G24" s="100" t="n">
        <v>51</v>
      </c>
      <c r="H24" s="96" t="n">
        <v>58</v>
      </c>
      <c r="I24" s="88" t="n">
        <v>67</v>
      </c>
      <c r="J24" s="27">
        <f>ROUND(I24*Config!C6/Config!C8/Config!C7,1)</f>
        <v/>
      </c>
      <c r="K24" s="28" t="n">
        <v>13</v>
      </c>
      <c r="L24" s="29">
        <f>ROUND(K24-J24,1)</f>
        <v/>
      </c>
      <c r="M24" s="30">
        <f>IF(L24&gt;=3,"Comfortable",IF(L24&gt;=1,"Good",IF(L24&gt;=0,"Tight",IF(L24&gt;=-2,"Under","Critical"))))</f>
        <v/>
      </c>
      <c r="N24" s="31" t="inlineStr">
        <is>
          <t>S1</t>
        </is>
      </c>
    </row>
    <row r="25" ht="16" customHeight="1">
      <c r="A25" s="18" t="inlineStr">
        <is>
          <t>10:30</t>
        </is>
      </c>
      <c r="B25" s="41" t="n">
        <v>56</v>
      </c>
      <c r="C25" s="35" t="n">
        <v>99</v>
      </c>
      <c r="D25" s="50" t="n">
        <v>66</v>
      </c>
      <c r="E25" s="41" t="n">
        <v>56</v>
      </c>
      <c r="F25" s="65" t="n">
        <v>52</v>
      </c>
      <c r="G25" s="92" t="n">
        <v>47</v>
      </c>
      <c r="H25" s="65" t="n">
        <v>52</v>
      </c>
      <c r="I25" s="101" t="n">
        <v>61</v>
      </c>
      <c r="J25" s="27">
        <f>ROUND(I25*Config!C6/Config!C8/Config!C7,1)</f>
        <v/>
      </c>
      <c r="K25" s="28" t="n">
        <v>13</v>
      </c>
      <c r="L25" s="29">
        <f>ROUND(K25-J25,1)</f>
        <v/>
      </c>
      <c r="M25" s="30">
        <f>IF(L25&gt;=3,"Comfortable",IF(L25&gt;=1,"Good",IF(L25&gt;=0,"Tight",IF(L25&gt;=-2,"Under","Critical"))))</f>
        <v/>
      </c>
      <c r="N25" s="31" t="inlineStr">
        <is>
          <t>S1</t>
        </is>
      </c>
    </row>
    <row r="26" ht="16" customHeight="1">
      <c r="A26" s="18" t="inlineStr">
        <is>
          <t>11:00</t>
        </is>
      </c>
      <c r="B26" s="69" t="n">
        <v>65</v>
      </c>
      <c r="C26" s="68" t="n">
        <v>63</v>
      </c>
      <c r="D26" s="22" t="n">
        <v>75</v>
      </c>
      <c r="E26" s="94" t="n">
        <v>83</v>
      </c>
      <c r="F26" s="22" t="n">
        <v>75</v>
      </c>
      <c r="G26" s="102" t="n">
        <v>49</v>
      </c>
      <c r="H26" s="68" t="n">
        <v>63</v>
      </c>
      <c r="I26" s="97" t="n">
        <v>68</v>
      </c>
      <c r="J26" s="27">
        <f>ROUND(I26*Config!C6/Config!C8/Config!C7,1)</f>
        <v/>
      </c>
      <c r="K26" s="28" t="n">
        <v>13</v>
      </c>
      <c r="L26" s="29">
        <f>ROUND(K26-J26,1)</f>
        <v/>
      </c>
      <c r="M26" s="30">
        <f>IF(L26&gt;=3,"Comfortable",IF(L26&gt;=1,"Good",IF(L26&gt;=0,"Tight",IF(L26&gt;=-2,"Under","Critical"))))</f>
        <v/>
      </c>
      <c r="N26" s="31" t="inlineStr">
        <is>
          <t>S1</t>
        </is>
      </c>
    </row>
    <row r="27" ht="16" customHeight="1">
      <c r="A27" s="18" t="inlineStr">
        <is>
          <t>11:30</t>
        </is>
      </c>
      <c r="B27" s="22" t="n">
        <v>75</v>
      </c>
      <c r="C27" s="57" t="n">
        <v>72</v>
      </c>
      <c r="D27" s="32" t="n">
        <v>80</v>
      </c>
      <c r="E27" s="62" t="n">
        <v>74</v>
      </c>
      <c r="F27" s="22" t="n">
        <v>75</v>
      </c>
      <c r="G27" s="103" t="n">
        <v>61</v>
      </c>
      <c r="H27" s="47" t="n">
        <v>55</v>
      </c>
      <c r="I27" s="99" t="n">
        <v>70</v>
      </c>
      <c r="J27" s="27">
        <f>ROUND(I27*Config!C6/Config!C8/Config!C7,1)</f>
        <v/>
      </c>
      <c r="K27" s="28" t="n">
        <v>13</v>
      </c>
      <c r="L27" s="29">
        <f>ROUND(K27-J27,1)</f>
        <v/>
      </c>
      <c r="M27" s="30">
        <f>IF(L27&gt;=3,"Comfortable",IF(L27&gt;=1,"Good",IF(L27&gt;=0,"Tight",IF(L27&gt;=-2,"Under","Critical"))))</f>
        <v/>
      </c>
      <c r="N27" s="31" t="inlineStr">
        <is>
          <t>S1</t>
        </is>
      </c>
    </row>
    <row r="28" ht="16" customHeight="1">
      <c r="A28" s="18" t="inlineStr">
        <is>
          <t>12:00</t>
        </is>
      </c>
      <c r="B28" s="53" t="n">
        <v>62</v>
      </c>
      <c r="C28" s="69" t="n">
        <v>65</v>
      </c>
      <c r="D28" s="57" t="n">
        <v>72</v>
      </c>
      <c r="E28" s="96" t="n">
        <v>58</v>
      </c>
      <c r="F28" s="103" t="n">
        <v>61</v>
      </c>
      <c r="G28" s="65" t="n">
        <v>52</v>
      </c>
      <c r="H28" s="92" t="n">
        <v>47</v>
      </c>
      <c r="I28" s="104" t="n">
        <v>60</v>
      </c>
      <c r="J28" s="27">
        <f>ROUND(I28*Config!C6/Config!C8/Config!C7,1)</f>
        <v/>
      </c>
      <c r="K28" s="28" t="n">
        <v>13</v>
      </c>
      <c r="L28" s="29">
        <f>ROUND(K28-J28,1)</f>
        <v/>
      </c>
      <c r="M28" s="30">
        <f>IF(L28&gt;=3,"Comfortable",IF(L28&gt;=1,"Good",IF(L28&gt;=0,"Tight",IF(L28&gt;=-2,"Under","Critical"))))</f>
        <v/>
      </c>
      <c r="N28" s="31" t="inlineStr">
        <is>
          <t>S1</t>
        </is>
      </c>
    </row>
    <row r="29" ht="16" customHeight="1">
      <c r="A29" s="18" t="inlineStr">
        <is>
          <t>12:30</t>
        </is>
      </c>
      <c r="B29" s="66" t="n">
        <v>67</v>
      </c>
      <c r="C29" s="103" t="n">
        <v>61</v>
      </c>
      <c r="D29" s="44" t="n">
        <v>82</v>
      </c>
      <c r="E29" s="54" t="n">
        <v>98</v>
      </c>
      <c r="F29" s="73" t="n">
        <v>77</v>
      </c>
      <c r="G29" s="68" t="n">
        <v>63</v>
      </c>
      <c r="H29" s="90" t="n">
        <v>53</v>
      </c>
      <c r="I29" s="61" t="n">
        <v>72</v>
      </c>
      <c r="J29" s="27">
        <f>ROUND(I29*Config!C6/Config!C8/Config!C7,1)</f>
        <v/>
      </c>
      <c r="K29" s="28" t="n">
        <v>13</v>
      </c>
      <c r="L29" s="29">
        <f>ROUND(K29-J29,1)</f>
        <v/>
      </c>
      <c r="M29" s="30">
        <f>IF(L29&gt;=3,"Comfortable",IF(L29&gt;=1,"Good",IF(L29&gt;=0,"Tight",IF(L29&gt;=-2,"Under","Critical"))))</f>
        <v/>
      </c>
      <c r="N29" s="31" t="inlineStr">
        <is>
          <t>S1</t>
        </is>
      </c>
    </row>
    <row r="30" ht="16" customHeight="1">
      <c r="A30" s="18" t="inlineStr">
        <is>
          <t>13:00</t>
        </is>
      </c>
      <c r="B30" s="53" t="n">
        <v>62</v>
      </c>
      <c r="C30" s="79" t="n">
        <v>64</v>
      </c>
      <c r="D30" s="105" t="n">
        <v>81</v>
      </c>
      <c r="E30" s="49" t="n">
        <v>84</v>
      </c>
      <c r="F30" s="65" t="n">
        <v>52</v>
      </c>
      <c r="G30" s="92" t="n">
        <v>47</v>
      </c>
      <c r="H30" s="40" t="n">
        <v>69</v>
      </c>
      <c r="I30" s="106" t="n">
        <v>66</v>
      </c>
      <c r="J30" s="27">
        <f>ROUND(I30*Config!C6/Config!C8/Config!C7,1)</f>
        <v/>
      </c>
      <c r="K30" s="28" t="n">
        <v>13</v>
      </c>
      <c r="L30" s="29">
        <f>ROUND(K30-J30,1)</f>
        <v/>
      </c>
      <c r="M30" s="30">
        <f>IF(L30&gt;=3,"Comfortable",IF(L30&gt;=1,"Good",IF(L30&gt;=0,"Tight",IF(L30&gt;=-2,"Under","Critical"))))</f>
        <v/>
      </c>
      <c r="N30" s="31" t="inlineStr">
        <is>
          <t>S1</t>
        </is>
      </c>
    </row>
    <row r="31" ht="16" customHeight="1">
      <c r="A31" s="18" t="inlineStr">
        <is>
          <t>13:30</t>
        </is>
      </c>
      <c r="B31" s="62" t="n">
        <v>74</v>
      </c>
      <c r="C31" s="36" t="n">
        <v>70</v>
      </c>
      <c r="D31" s="68" t="n">
        <v>63</v>
      </c>
      <c r="E31" s="67" t="n">
        <v>68</v>
      </c>
      <c r="F31" s="68" t="n">
        <v>63</v>
      </c>
      <c r="G31" s="107" t="n">
        <v>89</v>
      </c>
      <c r="H31" s="65" t="n">
        <v>52</v>
      </c>
      <c r="I31" s="97" t="n">
        <v>68</v>
      </c>
      <c r="J31" s="27">
        <f>ROUND(I31*Config!C6/Config!C8/Config!C7,1)</f>
        <v/>
      </c>
      <c r="K31" s="28" t="n">
        <v>13</v>
      </c>
      <c r="L31" s="29">
        <f>ROUND(K31-J31,1)</f>
        <v/>
      </c>
      <c r="M31" s="30">
        <f>IF(L31&gt;=3,"Comfortable",IF(L31&gt;=1,"Good",IF(L31&gt;=0,"Tight",IF(L31&gt;=-2,"Under","Critical"))))</f>
        <v/>
      </c>
      <c r="N31" s="31" t="inlineStr">
        <is>
          <t>S1</t>
        </is>
      </c>
    </row>
    <row r="32" ht="16" customHeight="1">
      <c r="A32" s="18" t="inlineStr">
        <is>
          <t>14:00</t>
        </is>
      </c>
      <c r="B32" s="50" t="n">
        <v>66</v>
      </c>
      <c r="C32" s="62" t="n">
        <v>74</v>
      </c>
      <c r="D32" s="81" t="n">
        <v>86</v>
      </c>
      <c r="E32" s="105" t="n">
        <v>81</v>
      </c>
      <c r="F32" s="36" t="n">
        <v>70</v>
      </c>
      <c r="G32" s="55" t="n">
        <v>50</v>
      </c>
      <c r="H32" s="59" t="n">
        <v>59</v>
      </c>
      <c r="I32" s="93" t="n">
        <v>69</v>
      </c>
      <c r="J32" s="27">
        <f>ROUND(I32*Config!C6/Config!C8/Config!C7,1)</f>
        <v/>
      </c>
      <c r="K32" s="28" t="n">
        <v>13</v>
      </c>
      <c r="L32" s="29">
        <f>ROUND(K32-J32,1)</f>
        <v/>
      </c>
      <c r="M32" s="30">
        <f>IF(L32&gt;=3,"Comfortable",IF(L32&gt;=1,"Good",IF(L32&gt;=0,"Tight",IF(L32&gt;=-2,"Under","Critical"))))</f>
        <v/>
      </c>
      <c r="N32" s="31" t="inlineStr">
        <is>
          <t>S1</t>
        </is>
      </c>
    </row>
    <row r="33" ht="16" customHeight="1">
      <c r="A33" s="18" t="inlineStr">
        <is>
          <t>14:30</t>
        </is>
      </c>
      <c r="B33" s="68" t="n">
        <v>63</v>
      </c>
      <c r="C33" s="49" t="n">
        <v>84</v>
      </c>
      <c r="D33" s="62" t="n">
        <v>74</v>
      </c>
      <c r="E33" s="53" t="n">
        <v>62</v>
      </c>
      <c r="F33" s="98" t="n">
        <v>79</v>
      </c>
      <c r="G33" s="55" t="n">
        <v>50</v>
      </c>
      <c r="H33" s="40" t="n">
        <v>69</v>
      </c>
      <c r="I33" s="93" t="n">
        <v>69</v>
      </c>
      <c r="J33" s="27">
        <f>ROUND(I33*Config!C6/Config!C8/Config!C7,1)</f>
        <v/>
      </c>
      <c r="K33" s="28" t="n">
        <v>13</v>
      </c>
      <c r="L33" s="29">
        <f>ROUND(K33-J33,1)</f>
        <v/>
      </c>
      <c r="M33" s="30">
        <f>IF(L33&gt;=3,"Comfortable",IF(L33&gt;=1,"Good",IF(L33&gt;=0,"Tight",IF(L33&gt;=-2,"Under","Critical"))))</f>
        <v/>
      </c>
      <c r="N33" s="31" t="inlineStr">
        <is>
          <t>S1</t>
        </is>
      </c>
    </row>
    <row r="34" ht="16" customHeight="1">
      <c r="A34" s="18" t="inlineStr">
        <is>
          <t>15:00</t>
        </is>
      </c>
      <c r="B34" s="108" t="n">
        <v>96</v>
      </c>
      <c r="C34" s="39" t="n">
        <v>112</v>
      </c>
      <c r="D34" s="62" t="n">
        <v>74</v>
      </c>
      <c r="E34" s="24" t="n">
        <v>85</v>
      </c>
      <c r="F34" s="109" t="n">
        <v>109</v>
      </c>
      <c r="G34" s="110" t="n">
        <v>44</v>
      </c>
      <c r="H34" s="70" t="n">
        <v>54</v>
      </c>
      <c r="I34" s="111" t="n">
        <v>82</v>
      </c>
      <c r="J34" s="27">
        <f>ROUND(I34*Config!C6/Config!C8/Config!C7,1)</f>
        <v/>
      </c>
      <c r="K34" s="28" t="n">
        <v>23</v>
      </c>
      <c r="L34" s="29">
        <f>ROUND(K34-J34,1)</f>
        <v/>
      </c>
      <c r="M34" s="30">
        <f>IF(L34&gt;=3,"Comfortable",IF(L34&gt;=1,"Good",IF(L34&gt;=0,"Tight",IF(L34&gt;=-2,"Under","Critical"))))</f>
        <v/>
      </c>
      <c r="N34" s="31" t="inlineStr">
        <is>
          <t>S1+S2</t>
        </is>
      </c>
    </row>
    <row r="35" ht="16" customHeight="1">
      <c r="A35" s="18" t="inlineStr">
        <is>
          <t>15:30</t>
        </is>
      </c>
      <c r="B35" s="46" t="n">
        <v>91</v>
      </c>
      <c r="C35" s="19" t="n">
        <v>102</v>
      </c>
      <c r="D35" s="34" t="n">
        <v>93</v>
      </c>
      <c r="E35" s="23" t="n">
        <v>104</v>
      </c>
      <c r="F35" s="112" t="n">
        <v>106</v>
      </c>
      <c r="G35" s="66" t="n">
        <v>67</v>
      </c>
      <c r="H35" s="98" t="n">
        <v>79</v>
      </c>
      <c r="I35" s="113" t="n">
        <v>92</v>
      </c>
      <c r="J35" s="27">
        <f>ROUND(I35*Config!C6/Config!C8/Config!C7,1)</f>
        <v/>
      </c>
      <c r="K35" s="28" t="n">
        <v>23</v>
      </c>
      <c r="L35" s="29">
        <f>ROUND(K35-J35,1)</f>
        <v/>
      </c>
      <c r="M35" s="30">
        <f>IF(L35&gt;=3,"Comfortable",IF(L35&gt;=1,"Good",IF(L35&gt;=0,"Tight",IF(L35&gt;=-2,"Under","Critical"))))</f>
        <v/>
      </c>
      <c r="N35" s="31" t="inlineStr">
        <is>
          <t>S1+S2</t>
        </is>
      </c>
    </row>
    <row r="36" ht="16" customHeight="1">
      <c r="A36" s="18" t="inlineStr">
        <is>
          <t>16:00</t>
        </is>
      </c>
      <c r="B36" s="114" t="n">
        <v>108</v>
      </c>
      <c r="C36" s="108" t="n">
        <v>96</v>
      </c>
      <c r="D36" s="64" t="n">
        <v>90</v>
      </c>
      <c r="E36" s="107" t="n">
        <v>89</v>
      </c>
      <c r="F36" s="115" t="n">
        <v>107</v>
      </c>
      <c r="G36" s="98" t="n">
        <v>79</v>
      </c>
      <c r="H36" s="94" t="n">
        <v>83</v>
      </c>
      <c r="I36" s="116" t="n">
        <v>93</v>
      </c>
      <c r="J36" s="27">
        <f>ROUND(I36*Config!C6/Config!C8/Config!C7,1)</f>
        <v/>
      </c>
      <c r="K36" s="28" t="n">
        <v>10</v>
      </c>
      <c r="L36" s="29">
        <f>ROUND(K36-J36,1)</f>
        <v/>
      </c>
      <c r="M36" s="30">
        <f>IF(L36&gt;=3,"Comfortable",IF(L36&gt;=1,"Good",IF(L36&gt;=0,"Tight",IF(L36&gt;=-2,"Under","Critical"))))</f>
        <v/>
      </c>
      <c r="N36" s="31" t="inlineStr">
        <is>
          <t>S2</t>
        </is>
      </c>
    </row>
    <row r="37" ht="16" customHeight="1">
      <c r="A37" s="18" t="inlineStr">
        <is>
          <t>16:30</t>
        </is>
      </c>
      <c r="B37" s="117" t="n">
        <v>97</v>
      </c>
      <c r="C37" s="118" t="n">
        <v>132</v>
      </c>
      <c r="D37" s="19" t="n">
        <v>102</v>
      </c>
      <c r="E37" s="48" t="n">
        <v>78</v>
      </c>
      <c r="F37" s="105" t="n">
        <v>81</v>
      </c>
      <c r="G37" s="63" t="n">
        <v>94</v>
      </c>
      <c r="H37" s="47" t="n">
        <v>55</v>
      </c>
      <c r="I37" s="119" t="n">
        <v>91</v>
      </c>
      <c r="J37" s="27">
        <f>ROUND(I37*Config!C6/Config!C8/Config!C7,1)</f>
        <v/>
      </c>
      <c r="K37" s="28" t="n">
        <v>10</v>
      </c>
      <c r="L37" s="29">
        <f>ROUND(K37-J37,1)</f>
        <v/>
      </c>
      <c r="M37" s="30">
        <f>IF(L37&gt;=3,"Comfortable",IF(L37&gt;=1,"Good",IF(L37&gt;=0,"Tight",IF(L37&gt;=-2,"Under","Critical"))))</f>
        <v/>
      </c>
      <c r="N37" s="31" t="inlineStr">
        <is>
          <t>S2</t>
        </is>
      </c>
    </row>
    <row r="38" ht="16" customHeight="1">
      <c r="A38" s="18" t="inlineStr">
        <is>
          <t>17:00</t>
        </is>
      </c>
      <c r="B38" s="19" t="n">
        <v>102</v>
      </c>
      <c r="C38" s="115" t="n">
        <v>107</v>
      </c>
      <c r="D38" s="58" t="n">
        <v>100</v>
      </c>
      <c r="E38" s="120" t="n">
        <v>113</v>
      </c>
      <c r="F38" s="117" t="n">
        <v>97</v>
      </c>
      <c r="G38" s="32" t="n">
        <v>80</v>
      </c>
      <c r="H38" s="73" t="n">
        <v>77</v>
      </c>
      <c r="I38" s="121" t="n">
        <v>97</v>
      </c>
      <c r="J38" s="27">
        <f>ROUND(I38*Config!C6/Config!C8/Config!C7,1)</f>
        <v/>
      </c>
      <c r="K38" s="28" t="n">
        <v>10</v>
      </c>
      <c r="L38" s="29">
        <f>ROUND(K38-J38,1)</f>
        <v/>
      </c>
      <c r="M38" s="30">
        <f>IF(L38&gt;=3,"Comfortable",IF(L38&gt;=1,"Good",IF(L38&gt;=0,"Tight",IF(L38&gt;=-2,"Under","Critical"))))</f>
        <v/>
      </c>
      <c r="N38" s="31" t="inlineStr">
        <is>
          <t>S2</t>
        </is>
      </c>
    </row>
    <row r="39" ht="16" customHeight="1">
      <c r="A39" s="18" t="inlineStr">
        <is>
          <t>17:30</t>
        </is>
      </c>
      <c r="B39" s="112" t="n">
        <v>106</v>
      </c>
      <c r="C39" s="19" t="n">
        <v>102</v>
      </c>
      <c r="D39" s="114" t="n">
        <v>108</v>
      </c>
      <c r="E39" s="122" t="n">
        <v>128</v>
      </c>
      <c r="F39" s="123" t="n">
        <v>103</v>
      </c>
      <c r="G39" s="22" t="n">
        <v>75</v>
      </c>
      <c r="H39" s="124" t="n">
        <v>101</v>
      </c>
      <c r="I39" s="125" t="n">
        <v>103</v>
      </c>
      <c r="J39" s="27">
        <f>ROUND(I39*Config!C6/Config!C8/Config!C7,1)</f>
        <v/>
      </c>
      <c r="K39" s="28" t="n">
        <v>10</v>
      </c>
      <c r="L39" s="29">
        <f>ROUND(K39-J39,1)</f>
        <v/>
      </c>
      <c r="M39" s="30">
        <f>IF(L39&gt;=3,"Comfortable",IF(L39&gt;=1,"Good",IF(L39&gt;=0,"Tight",IF(L39&gt;=-2,"Under","Critical"))))</f>
        <v/>
      </c>
      <c r="N39" s="31" t="inlineStr">
        <is>
          <t>S2</t>
        </is>
      </c>
    </row>
    <row r="40" ht="16" customHeight="1">
      <c r="A40" s="18" t="inlineStr">
        <is>
          <t>18:00</t>
        </is>
      </c>
      <c r="B40" s="114" t="n">
        <v>108</v>
      </c>
      <c r="C40" s="126" t="n">
        <v>120</v>
      </c>
      <c r="D40" s="109" t="n">
        <v>109</v>
      </c>
      <c r="E40" s="127" t="n">
        <v>135</v>
      </c>
      <c r="F40" s="123" t="n">
        <v>103</v>
      </c>
      <c r="G40" s="45" t="n">
        <v>110</v>
      </c>
      <c r="H40" s="44" t="n">
        <v>82</v>
      </c>
      <c r="I40" s="128" t="n">
        <v>110</v>
      </c>
      <c r="J40" s="27">
        <f>ROUND(I40*Config!C6/Config!C8/Config!C7,1)</f>
        <v/>
      </c>
      <c r="K40" s="28" t="n">
        <v>20</v>
      </c>
      <c r="L40" s="29">
        <f>ROUND(K40-J40,1)</f>
        <v/>
      </c>
      <c r="M40" s="30">
        <f>IF(L40&gt;=3,"Comfortable",IF(L40&gt;=1,"Good",IF(L40&gt;=0,"Tight",IF(L40&gt;=-2,"Under","Critical"))))</f>
        <v/>
      </c>
      <c r="N40" s="31" t="inlineStr">
        <is>
          <t>S2+S3</t>
        </is>
      </c>
    </row>
    <row r="41" ht="16" customHeight="1">
      <c r="A41" s="18" t="inlineStr">
        <is>
          <t>18:30</t>
        </is>
      </c>
      <c r="B41" s="122" t="n">
        <v>128</v>
      </c>
      <c r="C41" s="129" t="n">
        <v>118</v>
      </c>
      <c r="D41" s="115" t="n">
        <v>107</v>
      </c>
      <c r="E41" s="130" t="n">
        <v>117</v>
      </c>
      <c r="F41" s="123" t="n">
        <v>103</v>
      </c>
      <c r="G41" s="117" t="n">
        <v>97</v>
      </c>
      <c r="H41" s="49" t="n">
        <v>84</v>
      </c>
      <c r="I41" s="131" t="n">
        <v>108</v>
      </c>
      <c r="J41" s="27">
        <f>ROUND(I41*Config!C6/Config!C8/Config!C7,1)</f>
        <v/>
      </c>
      <c r="K41" s="28" t="n">
        <v>20</v>
      </c>
      <c r="L41" s="29">
        <f>ROUND(K41-J41,1)</f>
        <v/>
      </c>
      <c r="M41" s="30">
        <f>IF(L41&gt;=3,"Comfortable",IF(L41&gt;=1,"Good",IF(L41&gt;=0,"Tight",IF(L41&gt;=-2,"Under","Critical"))))</f>
        <v/>
      </c>
      <c r="N41" s="31" t="inlineStr">
        <is>
          <t>S2+S3</t>
        </is>
      </c>
    </row>
    <row r="42" ht="16" customHeight="1">
      <c r="A42" s="18" t="inlineStr">
        <is>
          <t>19:00</t>
        </is>
      </c>
      <c r="B42" s="23" t="n">
        <v>104</v>
      </c>
      <c r="C42" s="132" t="n">
        <v>115</v>
      </c>
      <c r="D42" s="46" t="n">
        <v>91</v>
      </c>
      <c r="E42" s="133" t="n">
        <v>116</v>
      </c>
      <c r="F42" s="19" t="n">
        <v>102</v>
      </c>
      <c r="G42" s="133" t="n">
        <v>116</v>
      </c>
      <c r="H42" s="25" t="n">
        <v>92</v>
      </c>
      <c r="I42" s="134" t="n">
        <v>105</v>
      </c>
      <c r="J42" s="27">
        <f>ROUND(I42*Config!C6/Config!C8/Config!C7,1)</f>
        <v/>
      </c>
      <c r="K42" s="28" t="n">
        <v>20</v>
      </c>
      <c r="L42" s="29">
        <f>ROUND(K42-J42,1)</f>
        <v/>
      </c>
      <c r="M42" s="30">
        <f>IF(L42&gt;=3,"Comfortable",IF(L42&gt;=1,"Good",IF(L42&gt;=0,"Tight",IF(L42&gt;=-2,"Under","Critical"))))</f>
        <v/>
      </c>
      <c r="N42" s="31" t="inlineStr">
        <is>
          <t>S2+S3</t>
        </is>
      </c>
    </row>
    <row r="43" ht="16" customHeight="1">
      <c r="A43" s="18" t="inlineStr">
        <is>
          <t>19:30</t>
        </is>
      </c>
      <c r="B43" s="135" t="n">
        <v>126</v>
      </c>
      <c r="C43" s="136" t="n">
        <v>136</v>
      </c>
      <c r="D43" s="20" t="n">
        <v>124</v>
      </c>
      <c r="E43" s="137" t="n">
        <v>125</v>
      </c>
      <c r="F43" s="39" t="n">
        <v>112</v>
      </c>
      <c r="G43" s="25" t="n">
        <v>92</v>
      </c>
      <c r="H43" s="68" t="n">
        <v>63</v>
      </c>
      <c r="I43" s="138" t="n">
        <v>111</v>
      </c>
      <c r="J43" s="27">
        <f>ROUND(I43*Config!C6/Config!C8/Config!C7,1)</f>
        <v/>
      </c>
      <c r="K43" s="28" t="n">
        <v>20</v>
      </c>
      <c r="L43" s="29">
        <f>ROUND(K43-J43,1)</f>
        <v/>
      </c>
      <c r="M43" s="30">
        <f>IF(L43&gt;=3,"Comfortable",IF(L43&gt;=1,"Good",IF(L43&gt;=0,"Tight",IF(L43&gt;=-2,"Under","Critical"))))</f>
        <v/>
      </c>
      <c r="N43" s="31" t="inlineStr">
        <is>
          <t>S2+S3</t>
        </is>
      </c>
    </row>
    <row r="44" ht="16" customHeight="1">
      <c r="A44" s="18" t="inlineStr">
        <is>
          <t>20:00</t>
        </is>
      </c>
      <c r="B44" s="139" t="n">
        <v>133</v>
      </c>
      <c r="C44" s="129" t="n">
        <v>118</v>
      </c>
      <c r="D44" s="54" t="n">
        <v>98</v>
      </c>
      <c r="E44" s="33" t="n">
        <v>121</v>
      </c>
      <c r="F44" s="108" t="n">
        <v>96</v>
      </c>
      <c r="G44" s="140" t="n">
        <v>111</v>
      </c>
      <c r="H44" s="96" t="n">
        <v>58</v>
      </c>
      <c r="I44" s="134" t="n">
        <v>105</v>
      </c>
      <c r="J44" s="27">
        <f>ROUND(I44*Config!C6/Config!C8/Config!C7,1)</f>
        <v/>
      </c>
      <c r="K44" s="28" t="n">
        <v>20</v>
      </c>
      <c r="L44" s="29">
        <f>ROUND(K44-J44,1)</f>
        <v/>
      </c>
      <c r="M44" s="30">
        <f>IF(L44&gt;=3,"Comfortable",IF(L44&gt;=1,"Good",IF(L44&gt;=0,"Tight",IF(L44&gt;=-2,"Under","Critical"))))</f>
        <v/>
      </c>
      <c r="N44" s="31" t="inlineStr">
        <is>
          <t>S2+S3</t>
        </is>
      </c>
    </row>
    <row r="45" ht="16" customHeight="1">
      <c r="A45" s="18" t="inlineStr">
        <is>
          <t>20:30</t>
        </is>
      </c>
      <c r="B45" s="114" t="n">
        <v>108</v>
      </c>
      <c r="C45" s="20" t="n">
        <v>124</v>
      </c>
      <c r="D45" s="45" t="n">
        <v>110</v>
      </c>
      <c r="E45" s="136" t="n">
        <v>136</v>
      </c>
      <c r="F45" s="135" t="n">
        <v>126</v>
      </c>
      <c r="G45" s="135" t="n">
        <v>126</v>
      </c>
      <c r="H45" s="62" t="n">
        <v>74</v>
      </c>
      <c r="I45" s="141" t="n">
        <v>115</v>
      </c>
      <c r="J45" s="27">
        <f>ROUND(I45*Config!C6/Config!C8/Config!C7,1)</f>
        <v/>
      </c>
      <c r="K45" s="28" t="n">
        <v>20</v>
      </c>
      <c r="L45" s="29">
        <f>ROUND(K45-J45,1)</f>
        <v/>
      </c>
      <c r="M45" s="30">
        <f>IF(L45&gt;=3,"Comfortable",IF(L45&gt;=1,"Good",IF(L45&gt;=0,"Tight",IF(L45&gt;=-2,"Under","Critical"))))</f>
        <v/>
      </c>
      <c r="N45" s="31" t="inlineStr">
        <is>
          <t>S2+S3</t>
        </is>
      </c>
    </row>
    <row r="46" ht="16" customHeight="1">
      <c r="A46" s="18" t="inlineStr">
        <is>
          <t>21:00</t>
        </is>
      </c>
      <c r="B46" s="20" t="n">
        <v>124</v>
      </c>
      <c r="C46" s="142" t="n">
        <v>129</v>
      </c>
      <c r="D46" s="19" t="n">
        <v>102</v>
      </c>
      <c r="E46" s="73" t="n">
        <v>77</v>
      </c>
      <c r="F46" s="34" t="n">
        <v>93</v>
      </c>
      <c r="G46" s="107" t="n">
        <v>89</v>
      </c>
      <c r="H46" s="62" t="n">
        <v>74</v>
      </c>
      <c r="I46" s="143" t="n">
        <v>98</v>
      </c>
      <c r="J46" s="27">
        <f>ROUND(I46*Config!C6/Config!C8/Config!C7,1)</f>
        <v/>
      </c>
      <c r="K46" s="28" t="n">
        <v>20</v>
      </c>
      <c r="L46" s="29">
        <f>ROUND(K46-J46,1)</f>
        <v/>
      </c>
      <c r="M46" s="30">
        <f>IF(L46&gt;=3,"Comfortable",IF(L46&gt;=1,"Good",IF(L46&gt;=0,"Tight",IF(L46&gt;=-2,"Under","Critical"))))</f>
        <v/>
      </c>
      <c r="N46" s="31" t="inlineStr">
        <is>
          <t>S2+S3</t>
        </is>
      </c>
    </row>
    <row r="47" ht="16" customHeight="1">
      <c r="A47" s="18" t="inlineStr">
        <is>
          <t>21:30</t>
        </is>
      </c>
      <c r="B47" s="123" t="n">
        <v>103</v>
      </c>
      <c r="C47" s="114" t="n">
        <v>108</v>
      </c>
      <c r="D47" s="21" t="n">
        <v>114</v>
      </c>
      <c r="E47" s="54" t="n">
        <v>98</v>
      </c>
      <c r="F47" s="144" t="n">
        <v>95</v>
      </c>
      <c r="G47" s="57" t="n">
        <v>72</v>
      </c>
      <c r="H47" s="81" t="n">
        <v>86</v>
      </c>
      <c r="I47" s="121" t="n">
        <v>97</v>
      </c>
      <c r="J47" s="27">
        <f>ROUND(I47*Config!C6/Config!C8/Config!C7,1)</f>
        <v/>
      </c>
      <c r="K47" s="28" t="n">
        <v>20</v>
      </c>
      <c r="L47" s="29">
        <f>ROUND(K47-J47,1)</f>
        <v/>
      </c>
      <c r="M47" s="30">
        <f>IF(L47&gt;=3,"Comfortable",IF(L47&gt;=1,"Good",IF(L47&gt;=0,"Tight",IF(L47&gt;=-2,"Under","Critical"))))</f>
        <v/>
      </c>
      <c r="N47" s="31" t="inlineStr">
        <is>
          <t>S2+S3</t>
        </is>
      </c>
    </row>
    <row r="48" ht="16" customHeight="1">
      <c r="A48" s="18" t="inlineStr">
        <is>
          <t>22:00</t>
        </is>
      </c>
      <c r="B48" s="145" t="n">
        <v>142</v>
      </c>
      <c r="C48" s="146" t="n">
        <v>141</v>
      </c>
      <c r="D48" s="112" t="n">
        <v>106</v>
      </c>
      <c r="E48" s="64" t="n">
        <v>90</v>
      </c>
      <c r="F48" s="58" t="n">
        <v>100</v>
      </c>
      <c r="G48" s="66" t="n">
        <v>67</v>
      </c>
      <c r="H48" s="94" t="n">
        <v>83</v>
      </c>
      <c r="I48" s="147" t="n">
        <v>104</v>
      </c>
      <c r="J48" s="27">
        <f>ROUND(I48*Config!C6/Config!C8/Config!C7,1)</f>
        <v/>
      </c>
      <c r="K48" s="28" t="n">
        <v>20</v>
      </c>
      <c r="L48" s="29">
        <f>ROUND(K48-J48,1)</f>
        <v/>
      </c>
      <c r="M48" s="30">
        <f>IF(L48&gt;=3,"Comfortable",IF(L48&gt;=1,"Good",IF(L48&gt;=0,"Tight",IF(L48&gt;=-2,"Under","Critical"))))</f>
        <v/>
      </c>
      <c r="N48" s="31" t="inlineStr">
        <is>
          <t>S2+S3</t>
        </is>
      </c>
    </row>
    <row r="49" ht="16" customHeight="1">
      <c r="A49" s="18" t="inlineStr">
        <is>
          <t>22:30</t>
        </is>
      </c>
      <c r="B49" s="45" t="n">
        <v>110</v>
      </c>
      <c r="C49" s="39" t="n">
        <v>112</v>
      </c>
      <c r="D49" s="45" t="n">
        <v>110</v>
      </c>
      <c r="E49" s="107" t="n">
        <v>89</v>
      </c>
      <c r="F49" s="25" t="n">
        <v>92</v>
      </c>
      <c r="G49" s="67" t="n">
        <v>68</v>
      </c>
      <c r="H49" s="118" t="n">
        <v>132</v>
      </c>
      <c r="I49" s="148" t="n">
        <v>102</v>
      </c>
      <c r="J49" s="27">
        <f>ROUND(I49*Config!C6/Config!C8/Config!C7,1)</f>
        <v/>
      </c>
      <c r="K49" s="28" t="n">
        <v>20</v>
      </c>
      <c r="L49" s="29">
        <f>ROUND(K49-J49,1)</f>
        <v/>
      </c>
      <c r="M49" s="30">
        <f>IF(L49&gt;=3,"Comfortable",IF(L49&gt;=1,"Good",IF(L49&gt;=0,"Tight",IF(L49&gt;=-2,"Under","Critical"))))</f>
        <v/>
      </c>
      <c r="N49" s="31" t="inlineStr">
        <is>
          <t>S2+S3</t>
        </is>
      </c>
    </row>
    <row r="50" ht="16" customHeight="1">
      <c r="A50" s="18" t="inlineStr">
        <is>
          <t>23:00</t>
        </is>
      </c>
      <c r="B50" s="118" t="n">
        <v>132</v>
      </c>
      <c r="C50" s="45" t="n">
        <v>110</v>
      </c>
      <c r="D50" s="45" t="n">
        <v>110</v>
      </c>
      <c r="E50" s="45" t="n">
        <v>110</v>
      </c>
      <c r="F50" s="64" t="n">
        <v>90</v>
      </c>
      <c r="G50" s="132" t="n">
        <v>115</v>
      </c>
      <c r="H50" s="120" t="n">
        <v>113</v>
      </c>
      <c r="I50" s="138" t="n">
        <v>111</v>
      </c>
      <c r="J50" s="27">
        <f>ROUND(I50*Config!C6/Config!C8/Config!C7,1)</f>
        <v/>
      </c>
      <c r="K50" s="28" t="n">
        <v>26</v>
      </c>
      <c r="L50" s="29">
        <f>ROUND(K50-J50,1)</f>
        <v/>
      </c>
      <c r="M50" s="30">
        <f>IF(L50&gt;=3,"Comfortable",IF(L50&gt;=1,"Good",IF(L50&gt;=0,"Tight",IF(L50&gt;=-2,"Under","Critical"))))</f>
        <v/>
      </c>
      <c r="N50" s="31" t="inlineStr">
        <is>
          <t>S2+S3+S4</t>
        </is>
      </c>
    </row>
    <row r="51" ht="16" customHeight="1">
      <c r="A51" s="18" t="inlineStr">
        <is>
          <t>23:30</t>
        </is>
      </c>
      <c r="B51" s="136" t="n">
        <v>136</v>
      </c>
      <c r="C51" s="114" t="n">
        <v>108</v>
      </c>
      <c r="D51" s="45" t="n">
        <v>110</v>
      </c>
      <c r="E51" s="120" t="n">
        <v>113</v>
      </c>
      <c r="F51" s="54" t="n">
        <v>98</v>
      </c>
      <c r="G51" s="35" t="n">
        <v>99</v>
      </c>
      <c r="H51" s="54" t="n">
        <v>98</v>
      </c>
      <c r="I51" s="149" t="n">
        <v>109</v>
      </c>
      <c r="J51" s="27">
        <f>ROUND(I51*Config!C6/Config!C8/Config!C7,1)</f>
        <v/>
      </c>
      <c r="K51" s="28" t="n">
        <v>26</v>
      </c>
      <c r="L51" s="29">
        <f>ROUND(K51-J51,1)</f>
        <v/>
      </c>
      <c r="M51" s="30">
        <f>IF(L51&gt;=3,"Comfortable",IF(L51&gt;=1,"Good",IF(L51&gt;=0,"Tight",IF(L51&gt;=-2,"Under","Critical"))))</f>
        <v/>
      </c>
      <c r="N51" s="31" t="inlineStr">
        <is>
          <t>S2+S3+S4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11" customWidth="1" min="3" max="3"/>
    <col width="9" customWidth="1" min="4" max="4"/>
    <col width="10" customWidth="1" min="5" max="5"/>
    <col width="11" customWidth="1" min="6" max="6"/>
    <col width="9" customWidth="1" min="7" max="7"/>
    <col width="10" customWidth="1" min="8" max="8"/>
    <col width="7" customWidth="1" min="9" max="9"/>
    <col width="20" customWidth="1" min="10" max="10"/>
    <col width="16" customWidth="1" min="11" max="11"/>
  </cols>
  <sheetData>
    <row r="1">
      <c r="A1" s="150" t="inlineStr">
        <is>
          <t>Shrinkage Planner  |  Edit AHT, Concurrency &amp; Shrinkage in Config sheet  |  Auto-recalculates</t>
        </is>
      </c>
    </row>
    <row r="3" ht="36" customHeight="1">
      <c r="A3" s="3" t="inlineStr">
        <is>
          <t>Slot</t>
        </is>
      </c>
      <c r="B3" s="3" t="inlineStr">
        <is>
          <t>Avg
Chats</t>
        </is>
      </c>
      <c r="C3" s="3" t="inlineStr">
        <is>
          <t>Agents
Needed</t>
        </is>
      </c>
      <c r="D3" s="3" t="inlineStr">
        <is>
          <t>Gross
Online</t>
        </is>
      </c>
      <c r="E3" s="3" t="inlineStr">
        <is>
          <t>Unplanned
Loss</t>
        </is>
      </c>
      <c r="F3" s="3" t="inlineStr">
        <is>
          <t>Net After
Unplanned</t>
        </is>
      </c>
      <c r="G3" s="3" t="inlineStr">
        <is>
          <t>Planned
Off</t>
        </is>
      </c>
      <c r="H3" s="3" t="inlineStr">
        <is>
          <t>Effective
HC</t>
        </is>
      </c>
      <c r="I3" s="3" t="inlineStr">
        <is>
          <t>Gap</t>
        </is>
      </c>
      <c r="J3" s="3" t="inlineStr">
        <is>
          <t>Break
Policy</t>
        </is>
      </c>
      <c r="K3" s="3" t="inlineStr">
        <is>
          <t>Status</t>
        </is>
      </c>
    </row>
    <row r="4" ht="17" customHeight="1">
      <c r="A4" s="18" t="inlineStr">
        <is>
          <t>00:00</t>
        </is>
      </c>
      <c r="B4" s="151" t="n">
        <v>99</v>
      </c>
      <c r="C4" s="27">
        <f>ROUND(B4*Config!C6/Config!C8/Config!C7,1)</f>
        <v/>
      </c>
      <c r="D4" s="152" t="n">
        <v>16</v>
      </c>
      <c r="E4" s="153">
        <f>"-"&amp;TEXT(ROUND(D4*Config!C10,1),"0.0")</f>
        <v/>
      </c>
      <c r="F4" s="154">
        <f>ROUND(D4*(1-Config!C10),1)</f>
        <v/>
      </c>
      <c r="G4" s="155" t="inlineStr">
        <is>
          <t>0</t>
        </is>
      </c>
      <c r="H4" s="29">
        <f>ROUND(F4-G4,1)</f>
        <v/>
      </c>
      <c r="I4" s="29">
        <f>ROUND(H4-C4,1)</f>
        <v/>
      </c>
      <c r="J4" s="156" t="inlineStr">
        <is>
          <t>Block - peak slot</t>
        </is>
      </c>
      <c r="K4" s="30">
        <f>IF(I4&gt;=4,"Comfortable",IF(I4&gt;=1,"Good",IF(I4&gt;=0,"Tight",IF(I4&gt;=-2,"Under","Critical"))))</f>
        <v/>
      </c>
    </row>
    <row r="5" ht="17" customHeight="1">
      <c r="A5" s="18" t="inlineStr">
        <is>
          <t>00:30</t>
        </is>
      </c>
      <c r="B5" s="151" t="n">
        <v>96</v>
      </c>
      <c r="C5" s="27">
        <f>ROUND(B5*Config!C6/Config!C8/Config!C7,1)</f>
        <v/>
      </c>
      <c r="D5" s="152" t="n">
        <v>16</v>
      </c>
      <c r="E5" s="153">
        <f>"-"&amp;TEXT(ROUND(D5*Config!C10,1),"0.0")</f>
        <v/>
      </c>
      <c r="F5" s="154">
        <f>ROUND(D5*(1-Config!C10),1)</f>
        <v/>
      </c>
      <c r="G5" s="155" t="inlineStr">
        <is>
          <t>0</t>
        </is>
      </c>
      <c r="H5" s="29">
        <f>ROUND(F5-G5,1)</f>
        <v/>
      </c>
      <c r="I5" s="29">
        <f>ROUND(H5-C5,1)</f>
        <v/>
      </c>
      <c r="J5" s="156" t="inlineStr">
        <is>
          <t>Block - peak slot</t>
        </is>
      </c>
      <c r="K5" s="30">
        <f>IF(I5&gt;=4,"Comfortable",IF(I5&gt;=1,"Good",IF(I5&gt;=0,"Tight",IF(I5&gt;=-2,"Under","Critical"))))</f>
        <v/>
      </c>
    </row>
    <row r="6" ht="17" customHeight="1">
      <c r="A6" s="18" t="inlineStr">
        <is>
          <t>01:00</t>
        </is>
      </c>
      <c r="B6" s="151" t="n">
        <v>85</v>
      </c>
      <c r="C6" s="27">
        <f>ROUND(B6*Config!C6/Config!C8/Config!C7,1)</f>
        <v/>
      </c>
      <c r="D6" s="152" t="n">
        <v>16</v>
      </c>
      <c r="E6" s="153">
        <f>"-"&amp;TEXT(ROUND(D6*Config!C10,1),"0.0")</f>
        <v/>
      </c>
      <c r="F6" s="154">
        <f>ROUND(D6*(1-Config!C10),1)</f>
        <v/>
      </c>
      <c r="G6" s="157" t="inlineStr">
        <is>
          <t>-1</t>
        </is>
      </c>
      <c r="H6" s="29">
        <f>ROUND(F6-G6,1)</f>
        <v/>
      </c>
      <c r="I6" s="29">
        <f>ROUND(H6-C6,1)</f>
        <v/>
      </c>
      <c r="J6" s="158" t="inlineStr">
        <is>
          <t>Max 1 agent on break</t>
        </is>
      </c>
      <c r="K6" s="30">
        <f>IF(I6&gt;=4,"Comfortable",IF(I6&gt;=1,"Good",IF(I6&gt;=0,"Tight",IF(I6&gt;=-2,"Under","Critical"))))</f>
        <v/>
      </c>
    </row>
    <row r="7" ht="17" customHeight="1">
      <c r="A7" s="18" t="inlineStr">
        <is>
          <t>01:30</t>
        </is>
      </c>
      <c r="B7" s="151" t="n">
        <v>85</v>
      </c>
      <c r="C7" s="27">
        <f>ROUND(B7*Config!C6/Config!C8/Config!C7,1)</f>
        <v/>
      </c>
      <c r="D7" s="152" t="n">
        <v>16</v>
      </c>
      <c r="E7" s="153">
        <f>"-"&amp;TEXT(ROUND(D7*Config!C10,1),"0.0")</f>
        <v/>
      </c>
      <c r="F7" s="154">
        <f>ROUND(D7*(1-Config!C10),1)</f>
        <v/>
      </c>
      <c r="G7" s="157" t="inlineStr">
        <is>
          <t>-1</t>
        </is>
      </c>
      <c r="H7" s="29">
        <f>ROUND(F7-G7,1)</f>
        <v/>
      </c>
      <c r="I7" s="29">
        <f>ROUND(H7-C7,1)</f>
        <v/>
      </c>
      <c r="J7" s="158" t="inlineStr">
        <is>
          <t>Max 1 agent on break</t>
        </is>
      </c>
      <c r="K7" s="30">
        <f>IF(I7&gt;=4,"Comfortable",IF(I7&gt;=1,"Good",IF(I7&gt;=0,"Tight",IF(I7&gt;=-2,"Under","Critical"))))</f>
        <v/>
      </c>
    </row>
    <row r="8" ht="17" customHeight="1">
      <c r="A8" s="18" t="inlineStr">
        <is>
          <t>02:00</t>
        </is>
      </c>
      <c r="B8" s="151" t="n">
        <v>79</v>
      </c>
      <c r="C8" s="27">
        <f>ROUND(B8*Config!C6/Config!C8/Config!C7,1)</f>
        <v/>
      </c>
      <c r="D8" s="152" t="n">
        <v>16</v>
      </c>
      <c r="E8" s="153">
        <f>"-"&amp;TEXT(ROUND(D8*Config!C10,1),"0.0")</f>
        <v/>
      </c>
      <c r="F8" s="154">
        <f>ROUND(D8*(1-Config!C10),1)</f>
        <v/>
      </c>
      <c r="G8" s="157" t="inlineStr">
        <is>
          <t>-1</t>
        </is>
      </c>
      <c r="H8" s="29">
        <f>ROUND(F8-G8,1)</f>
        <v/>
      </c>
      <c r="I8" s="29">
        <f>ROUND(H8-C8,1)</f>
        <v/>
      </c>
      <c r="J8" s="158" t="inlineStr">
        <is>
          <t>Max 1 agent on break</t>
        </is>
      </c>
      <c r="K8" s="30">
        <f>IF(I8&gt;=4,"Comfortable",IF(I8&gt;=1,"Good",IF(I8&gt;=0,"Tight",IF(I8&gt;=-2,"Under","Critical"))))</f>
        <v/>
      </c>
    </row>
    <row r="9" ht="17" customHeight="1">
      <c r="A9" s="18" t="inlineStr">
        <is>
          <t>02:30</t>
        </is>
      </c>
      <c r="B9" s="151" t="n">
        <v>78</v>
      </c>
      <c r="C9" s="27">
        <f>ROUND(B9*Config!C6/Config!C8/Config!C7,1)</f>
        <v/>
      </c>
      <c r="D9" s="152" t="n">
        <v>16</v>
      </c>
      <c r="E9" s="153">
        <f>"-"&amp;TEXT(ROUND(D9*Config!C10,1),"0.0")</f>
        <v/>
      </c>
      <c r="F9" s="154">
        <f>ROUND(D9*(1-Config!C10),1)</f>
        <v/>
      </c>
      <c r="G9" s="157" t="inlineStr">
        <is>
          <t>-1</t>
        </is>
      </c>
      <c r="H9" s="29">
        <f>ROUND(F9-G9,1)</f>
        <v/>
      </c>
      <c r="I9" s="29">
        <f>ROUND(H9-C9,1)</f>
        <v/>
      </c>
      <c r="J9" s="158" t="inlineStr">
        <is>
          <t>Max 1 agent on break</t>
        </is>
      </c>
      <c r="K9" s="30">
        <f>IF(I9&gt;=4,"Comfortable",IF(I9&gt;=1,"Good",IF(I9&gt;=0,"Tight",IF(I9&gt;=-2,"Under","Critical"))))</f>
        <v/>
      </c>
    </row>
    <row r="10" ht="17" customHeight="1">
      <c r="A10" s="18" t="inlineStr">
        <is>
          <t>03:00</t>
        </is>
      </c>
      <c r="B10" s="151" t="n">
        <v>72</v>
      </c>
      <c r="C10" s="27">
        <f>ROUND(B10*Config!C6/Config!C8/Config!C7,1)</f>
        <v/>
      </c>
      <c r="D10" s="152" t="n">
        <v>6</v>
      </c>
      <c r="E10" s="153">
        <f>"-"&amp;TEXT(ROUND(D10*Config!C10,1),"0.0")</f>
        <v/>
      </c>
      <c r="F10" s="154">
        <f>ROUND(D10*(1-Config!C10),1)</f>
        <v/>
      </c>
      <c r="G10" s="159" t="inlineStr">
        <is>
          <t>-2</t>
        </is>
      </c>
      <c r="H10" s="29">
        <f>ROUND(F10-G10,1)</f>
        <v/>
      </c>
      <c r="I10" s="29">
        <f>ROUND(H10-C10,1)</f>
        <v/>
      </c>
      <c r="J10" s="160" t="inlineStr">
        <is>
          <t>Safe - 2 agents on break</t>
        </is>
      </c>
      <c r="K10" s="30">
        <f>IF(I10&gt;=4,"Comfortable",IF(I10&gt;=1,"Good",IF(I10&gt;=0,"Tight",IF(I10&gt;=-2,"Under","Critical"))))</f>
        <v/>
      </c>
    </row>
    <row r="11" ht="17" customHeight="1">
      <c r="A11" s="18" t="inlineStr">
        <is>
          <t>03:30</t>
        </is>
      </c>
      <c r="B11" s="151" t="n">
        <v>79</v>
      </c>
      <c r="C11" s="27">
        <f>ROUND(B11*Config!C6/Config!C8/Config!C7,1)</f>
        <v/>
      </c>
      <c r="D11" s="152" t="n">
        <v>6</v>
      </c>
      <c r="E11" s="153">
        <f>"-"&amp;TEXT(ROUND(D11*Config!C10,1),"0.0")</f>
        <v/>
      </c>
      <c r="F11" s="154">
        <f>ROUND(D11*(1-Config!C10),1)</f>
        <v/>
      </c>
      <c r="G11" s="157" t="inlineStr">
        <is>
          <t>-1</t>
        </is>
      </c>
      <c r="H11" s="29">
        <f>ROUND(F11-G11,1)</f>
        <v/>
      </c>
      <c r="I11" s="29">
        <f>ROUND(H11-C11,1)</f>
        <v/>
      </c>
      <c r="J11" s="158" t="inlineStr">
        <is>
          <t>Max 1 agent on break</t>
        </is>
      </c>
      <c r="K11" s="30">
        <f>IF(I11&gt;=4,"Comfortable",IF(I11&gt;=1,"Good",IF(I11&gt;=0,"Tight",IF(I11&gt;=-2,"Under","Critical"))))</f>
        <v/>
      </c>
    </row>
    <row r="12" ht="17" customHeight="1">
      <c r="A12" s="18" t="inlineStr">
        <is>
          <t>04:00</t>
        </is>
      </c>
      <c r="B12" s="151" t="n">
        <v>63</v>
      </c>
      <c r="C12" s="27">
        <f>ROUND(B12*Config!C6/Config!C8/Config!C7,1)</f>
        <v/>
      </c>
      <c r="D12" s="152" t="n">
        <v>6</v>
      </c>
      <c r="E12" s="153">
        <f>"-"&amp;TEXT(ROUND(D12*Config!C10,1),"0.0")</f>
        <v/>
      </c>
      <c r="F12" s="154">
        <f>ROUND(D12*(1-Config!C10),1)</f>
        <v/>
      </c>
      <c r="G12" s="159" t="inlineStr">
        <is>
          <t>-2</t>
        </is>
      </c>
      <c r="H12" s="29">
        <f>ROUND(F12-G12,1)</f>
        <v/>
      </c>
      <c r="I12" s="29">
        <f>ROUND(H12-C12,1)</f>
        <v/>
      </c>
      <c r="J12" s="160" t="inlineStr">
        <is>
          <t>Safe - 2 agents on break</t>
        </is>
      </c>
      <c r="K12" s="30">
        <f>IF(I12&gt;=4,"Comfortable",IF(I12&gt;=1,"Good",IF(I12&gt;=0,"Tight",IF(I12&gt;=-2,"Under","Critical"))))</f>
        <v/>
      </c>
    </row>
    <row r="13" ht="17" customHeight="1">
      <c r="A13" s="18" t="inlineStr">
        <is>
          <t>04:30</t>
        </is>
      </c>
      <c r="B13" s="151" t="n">
        <v>63</v>
      </c>
      <c r="C13" s="27">
        <f>ROUND(B13*Config!C6/Config!C8/Config!C7,1)</f>
        <v/>
      </c>
      <c r="D13" s="152" t="n">
        <v>6</v>
      </c>
      <c r="E13" s="153">
        <f>"-"&amp;TEXT(ROUND(D13*Config!C10,1),"0.0")</f>
        <v/>
      </c>
      <c r="F13" s="154">
        <f>ROUND(D13*(1-Config!C10),1)</f>
        <v/>
      </c>
      <c r="G13" s="159" t="inlineStr">
        <is>
          <t>-2</t>
        </is>
      </c>
      <c r="H13" s="29">
        <f>ROUND(F13-G13,1)</f>
        <v/>
      </c>
      <c r="I13" s="29">
        <f>ROUND(H13-C13,1)</f>
        <v/>
      </c>
      <c r="J13" s="160" t="inlineStr">
        <is>
          <t>Safe - 2 agents on break</t>
        </is>
      </c>
      <c r="K13" s="30">
        <f>IF(I13&gt;=4,"Comfortable",IF(I13&gt;=1,"Good",IF(I13&gt;=0,"Tight",IF(I13&gt;=-2,"Under","Critical"))))</f>
        <v/>
      </c>
    </row>
    <row r="14" ht="17" customHeight="1">
      <c r="A14" s="18" t="inlineStr">
        <is>
          <t>05:00</t>
        </is>
      </c>
      <c r="B14" s="151" t="n">
        <v>59</v>
      </c>
      <c r="C14" s="27">
        <f>ROUND(B14*Config!C6/Config!C8/Config!C7,1)</f>
        <v/>
      </c>
      <c r="D14" s="152" t="n">
        <v>6</v>
      </c>
      <c r="E14" s="153">
        <f>"-"&amp;TEXT(ROUND(D14*Config!C10,1),"0.0")</f>
        <v/>
      </c>
      <c r="F14" s="154">
        <f>ROUND(D14*(1-Config!C10),1)</f>
        <v/>
      </c>
      <c r="G14" s="159" t="inlineStr">
        <is>
          <t>-2</t>
        </is>
      </c>
      <c r="H14" s="29">
        <f>ROUND(F14-G14,1)</f>
        <v/>
      </c>
      <c r="I14" s="29">
        <f>ROUND(H14-C14,1)</f>
        <v/>
      </c>
      <c r="J14" s="160" t="inlineStr">
        <is>
          <t>Safe - 2 agents on break</t>
        </is>
      </c>
      <c r="K14" s="30">
        <f>IF(I14&gt;=4,"Comfortable",IF(I14&gt;=1,"Good",IF(I14&gt;=0,"Tight",IF(I14&gt;=-2,"Under","Critical"))))</f>
        <v/>
      </c>
    </row>
    <row r="15" ht="17" customHeight="1">
      <c r="A15" s="18" t="inlineStr">
        <is>
          <t>05:30</t>
        </is>
      </c>
      <c r="B15" s="151" t="n">
        <v>64</v>
      </c>
      <c r="C15" s="27">
        <f>ROUND(B15*Config!C6/Config!C8/Config!C7,1)</f>
        <v/>
      </c>
      <c r="D15" s="152" t="n">
        <v>6</v>
      </c>
      <c r="E15" s="153">
        <f>"-"&amp;TEXT(ROUND(D15*Config!C10,1),"0.0")</f>
        <v/>
      </c>
      <c r="F15" s="154">
        <f>ROUND(D15*(1-Config!C10),1)</f>
        <v/>
      </c>
      <c r="G15" s="159" t="inlineStr">
        <is>
          <t>-2</t>
        </is>
      </c>
      <c r="H15" s="29">
        <f>ROUND(F15-G15,1)</f>
        <v/>
      </c>
      <c r="I15" s="29">
        <f>ROUND(H15-C15,1)</f>
        <v/>
      </c>
      <c r="J15" s="160" t="inlineStr">
        <is>
          <t>Safe - 2 agents on break</t>
        </is>
      </c>
      <c r="K15" s="30">
        <f>IF(I15&gt;=4,"Comfortable",IF(I15&gt;=1,"Good",IF(I15&gt;=0,"Tight",IF(I15&gt;=-2,"Under","Critical"))))</f>
        <v/>
      </c>
    </row>
    <row r="16" ht="17" customHeight="1">
      <c r="A16" s="18" t="inlineStr">
        <is>
          <t>06:00</t>
        </is>
      </c>
      <c r="B16" s="151" t="n">
        <v>65</v>
      </c>
      <c r="C16" s="27">
        <f>ROUND(B16*Config!C6/Config!C8/Config!C7,1)</f>
        <v/>
      </c>
      <c r="D16" s="152" t="n">
        <v>6</v>
      </c>
      <c r="E16" s="153">
        <f>"-"&amp;TEXT(ROUND(D16*Config!C10,1),"0.0")</f>
        <v/>
      </c>
      <c r="F16" s="154">
        <f>ROUND(D16*(1-Config!C10),1)</f>
        <v/>
      </c>
      <c r="G16" s="159" t="inlineStr">
        <is>
          <t>-2</t>
        </is>
      </c>
      <c r="H16" s="29">
        <f>ROUND(F16-G16,1)</f>
        <v/>
      </c>
      <c r="I16" s="29">
        <f>ROUND(H16-C16,1)</f>
        <v/>
      </c>
      <c r="J16" s="160" t="inlineStr">
        <is>
          <t>Safe - 2 agents on break</t>
        </is>
      </c>
      <c r="K16" s="30">
        <f>IF(I16&gt;=4,"Comfortable",IF(I16&gt;=1,"Good",IF(I16&gt;=0,"Tight",IF(I16&gt;=-2,"Under","Critical"))))</f>
        <v/>
      </c>
    </row>
    <row r="17" ht="17" customHeight="1">
      <c r="A17" s="18" t="inlineStr">
        <is>
          <t>06:30</t>
        </is>
      </c>
      <c r="B17" s="151" t="n">
        <v>74</v>
      </c>
      <c r="C17" s="27">
        <f>ROUND(B17*Config!C6/Config!C8/Config!C7,1)</f>
        <v/>
      </c>
      <c r="D17" s="152" t="n">
        <v>6</v>
      </c>
      <c r="E17" s="153">
        <f>"-"&amp;TEXT(ROUND(D17*Config!C10,1),"0.0")</f>
        <v/>
      </c>
      <c r="F17" s="154">
        <f>ROUND(D17*(1-Config!C10),1)</f>
        <v/>
      </c>
      <c r="G17" s="157" t="inlineStr">
        <is>
          <t>-1</t>
        </is>
      </c>
      <c r="H17" s="29">
        <f>ROUND(F17-G17,1)</f>
        <v/>
      </c>
      <c r="I17" s="29">
        <f>ROUND(H17-C17,1)</f>
        <v/>
      </c>
      <c r="J17" s="158" t="inlineStr">
        <is>
          <t>Max 1 agent on break</t>
        </is>
      </c>
      <c r="K17" s="30">
        <f>IF(I17&gt;=4,"Comfortable",IF(I17&gt;=1,"Good",IF(I17&gt;=0,"Tight",IF(I17&gt;=-2,"Under","Critical"))))</f>
        <v/>
      </c>
    </row>
    <row r="18" ht="17" customHeight="1">
      <c r="A18" s="18" t="inlineStr">
        <is>
          <t>07:00</t>
        </is>
      </c>
      <c r="B18" s="151" t="n">
        <v>67</v>
      </c>
      <c r="C18" s="27">
        <f>ROUND(B18*Config!C6/Config!C8/Config!C7,1)</f>
        <v/>
      </c>
      <c r="D18" s="152" t="n">
        <v>19</v>
      </c>
      <c r="E18" s="153">
        <f>"-"&amp;TEXT(ROUND(D18*Config!C10,1),"0.0")</f>
        <v/>
      </c>
      <c r="F18" s="154">
        <f>ROUND(D18*(1-Config!C10),1)</f>
        <v/>
      </c>
      <c r="G18" s="159" t="inlineStr">
        <is>
          <t>-2</t>
        </is>
      </c>
      <c r="H18" s="29">
        <f>ROUND(F18-G18,1)</f>
        <v/>
      </c>
      <c r="I18" s="29">
        <f>ROUND(H18-C18,1)</f>
        <v/>
      </c>
      <c r="J18" s="160" t="inlineStr">
        <is>
          <t>Safe - 2 agents on break</t>
        </is>
      </c>
      <c r="K18" s="30">
        <f>IF(I18&gt;=4,"Comfortable",IF(I18&gt;=1,"Good",IF(I18&gt;=0,"Tight",IF(I18&gt;=-2,"Under","Critical"))))</f>
        <v/>
      </c>
    </row>
    <row r="19" ht="17" customHeight="1">
      <c r="A19" s="18" t="inlineStr">
        <is>
          <t>07:30</t>
        </is>
      </c>
      <c r="B19" s="151" t="n">
        <v>72</v>
      </c>
      <c r="C19" s="27">
        <f>ROUND(B19*Config!C6/Config!C8/Config!C7,1)</f>
        <v/>
      </c>
      <c r="D19" s="152" t="n">
        <v>19</v>
      </c>
      <c r="E19" s="153">
        <f>"-"&amp;TEXT(ROUND(D19*Config!C10,1),"0.0")</f>
        <v/>
      </c>
      <c r="F19" s="154">
        <f>ROUND(D19*(1-Config!C10),1)</f>
        <v/>
      </c>
      <c r="G19" s="159" t="inlineStr">
        <is>
          <t>-2</t>
        </is>
      </c>
      <c r="H19" s="29">
        <f>ROUND(F19-G19,1)</f>
        <v/>
      </c>
      <c r="I19" s="29">
        <f>ROUND(H19-C19,1)</f>
        <v/>
      </c>
      <c r="J19" s="160" t="inlineStr">
        <is>
          <t>Safe - 2 agents on break</t>
        </is>
      </c>
      <c r="K19" s="30">
        <f>IF(I19&gt;=4,"Comfortable",IF(I19&gt;=1,"Good",IF(I19&gt;=0,"Tight",IF(I19&gt;=-2,"Under","Critical"))))</f>
        <v/>
      </c>
    </row>
    <row r="20" ht="17" customHeight="1">
      <c r="A20" s="18" t="inlineStr">
        <is>
          <t>08:00</t>
        </is>
      </c>
      <c r="B20" s="151" t="n">
        <v>75</v>
      </c>
      <c r="C20" s="27">
        <f>ROUND(B20*Config!C6/Config!C8/Config!C7,1)</f>
        <v/>
      </c>
      <c r="D20" s="152" t="n">
        <v>13</v>
      </c>
      <c r="E20" s="153">
        <f>"-"&amp;TEXT(ROUND(D20*Config!C10,1),"0.0")</f>
        <v/>
      </c>
      <c r="F20" s="154">
        <f>ROUND(D20*(1-Config!C10),1)</f>
        <v/>
      </c>
      <c r="G20" s="157" t="inlineStr">
        <is>
          <t>-1</t>
        </is>
      </c>
      <c r="H20" s="29">
        <f>ROUND(F20-G20,1)</f>
        <v/>
      </c>
      <c r="I20" s="29">
        <f>ROUND(H20-C20,1)</f>
        <v/>
      </c>
      <c r="J20" s="158" t="inlineStr">
        <is>
          <t>Max 1 agent on break</t>
        </is>
      </c>
      <c r="K20" s="30">
        <f>IF(I20&gt;=4,"Comfortable",IF(I20&gt;=1,"Good",IF(I20&gt;=0,"Tight",IF(I20&gt;=-2,"Under","Critical"))))</f>
        <v/>
      </c>
    </row>
    <row r="21" ht="17" customHeight="1">
      <c r="A21" s="18" t="inlineStr">
        <is>
          <t>08:30</t>
        </is>
      </c>
      <c r="B21" s="151" t="n">
        <v>69</v>
      </c>
      <c r="C21" s="27">
        <f>ROUND(B21*Config!C6/Config!C8/Config!C7,1)</f>
        <v/>
      </c>
      <c r="D21" s="152" t="n">
        <v>13</v>
      </c>
      <c r="E21" s="153">
        <f>"-"&amp;TEXT(ROUND(D21*Config!C10,1),"0.0")</f>
        <v/>
      </c>
      <c r="F21" s="154">
        <f>ROUND(D21*(1-Config!C10),1)</f>
        <v/>
      </c>
      <c r="G21" s="159" t="inlineStr">
        <is>
          <t>-2</t>
        </is>
      </c>
      <c r="H21" s="29">
        <f>ROUND(F21-G21,1)</f>
        <v/>
      </c>
      <c r="I21" s="29">
        <f>ROUND(H21-C21,1)</f>
        <v/>
      </c>
      <c r="J21" s="160" t="inlineStr">
        <is>
          <t>Safe - 2 agents on break</t>
        </is>
      </c>
      <c r="K21" s="30">
        <f>IF(I21&gt;=4,"Comfortable",IF(I21&gt;=1,"Good",IF(I21&gt;=0,"Tight",IF(I21&gt;=-2,"Under","Critical"))))</f>
        <v/>
      </c>
    </row>
    <row r="22" ht="17" customHeight="1">
      <c r="A22" s="18" t="inlineStr">
        <is>
          <t>09:00</t>
        </is>
      </c>
      <c r="B22" s="151" t="n">
        <v>68</v>
      </c>
      <c r="C22" s="27">
        <f>ROUND(B22*Config!C6/Config!C8/Config!C7,1)</f>
        <v/>
      </c>
      <c r="D22" s="152" t="n">
        <v>13</v>
      </c>
      <c r="E22" s="153">
        <f>"-"&amp;TEXT(ROUND(D22*Config!C10,1),"0.0")</f>
        <v/>
      </c>
      <c r="F22" s="154">
        <f>ROUND(D22*(1-Config!C10),1)</f>
        <v/>
      </c>
      <c r="G22" s="159" t="inlineStr">
        <is>
          <t>-2</t>
        </is>
      </c>
      <c r="H22" s="29">
        <f>ROUND(F22-G22,1)</f>
        <v/>
      </c>
      <c r="I22" s="29">
        <f>ROUND(H22-C22,1)</f>
        <v/>
      </c>
      <c r="J22" s="160" t="inlineStr">
        <is>
          <t>Safe - 2 agents on break</t>
        </is>
      </c>
      <c r="K22" s="30">
        <f>IF(I22&gt;=4,"Comfortable",IF(I22&gt;=1,"Good",IF(I22&gt;=0,"Tight",IF(I22&gt;=-2,"Under","Critical"))))</f>
        <v/>
      </c>
    </row>
    <row r="23" ht="17" customHeight="1">
      <c r="A23" s="18" t="inlineStr">
        <is>
          <t>09:30</t>
        </is>
      </c>
      <c r="B23" s="151" t="n">
        <v>70</v>
      </c>
      <c r="C23" s="27">
        <f>ROUND(B23*Config!C6/Config!C8/Config!C7,1)</f>
        <v/>
      </c>
      <c r="D23" s="152" t="n">
        <v>13</v>
      </c>
      <c r="E23" s="153">
        <f>"-"&amp;TEXT(ROUND(D23*Config!C10,1),"0.0")</f>
        <v/>
      </c>
      <c r="F23" s="154">
        <f>ROUND(D23*(1-Config!C10),1)</f>
        <v/>
      </c>
      <c r="G23" s="159" t="inlineStr">
        <is>
          <t>-2</t>
        </is>
      </c>
      <c r="H23" s="29">
        <f>ROUND(F23-G23,1)</f>
        <v/>
      </c>
      <c r="I23" s="29">
        <f>ROUND(H23-C23,1)</f>
        <v/>
      </c>
      <c r="J23" s="160" t="inlineStr">
        <is>
          <t>Safe - 2 agents on break</t>
        </is>
      </c>
      <c r="K23" s="30">
        <f>IF(I23&gt;=4,"Comfortable",IF(I23&gt;=1,"Good",IF(I23&gt;=0,"Tight",IF(I23&gt;=-2,"Under","Critical"))))</f>
        <v/>
      </c>
    </row>
    <row r="24" ht="17" customHeight="1">
      <c r="A24" s="18" t="inlineStr">
        <is>
          <t>10:00</t>
        </is>
      </c>
      <c r="B24" s="151" t="n">
        <v>67</v>
      </c>
      <c r="C24" s="27">
        <f>ROUND(B24*Config!C6/Config!C8/Config!C7,1)</f>
        <v/>
      </c>
      <c r="D24" s="152" t="n">
        <v>13</v>
      </c>
      <c r="E24" s="153">
        <f>"-"&amp;TEXT(ROUND(D24*Config!C10,1),"0.0")</f>
        <v/>
      </c>
      <c r="F24" s="154">
        <f>ROUND(D24*(1-Config!C10),1)</f>
        <v/>
      </c>
      <c r="G24" s="159" t="inlineStr">
        <is>
          <t>-2</t>
        </is>
      </c>
      <c r="H24" s="29">
        <f>ROUND(F24-G24,1)</f>
        <v/>
      </c>
      <c r="I24" s="29">
        <f>ROUND(H24-C24,1)</f>
        <v/>
      </c>
      <c r="J24" s="160" t="inlineStr">
        <is>
          <t>Safe - 2 agents on break</t>
        </is>
      </c>
      <c r="K24" s="30">
        <f>IF(I24&gt;=4,"Comfortable",IF(I24&gt;=1,"Good",IF(I24&gt;=0,"Tight",IF(I24&gt;=-2,"Under","Critical"))))</f>
        <v/>
      </c>
    </row>
    <row r="25" ht="17" customHeight="1">
      <c r="A25" s="18" t="inlineStr">
        <is>
          <t>10:30</t>
        </is>
      </c>
      <c r="B25" s="151" t="n">
        <v>61</v>
      </c>
      <c r="C25" s="27">
        <f>ROUND(B25*Config!C6/Config!C8/Config!C7,1)</f>
        <v/>
      </c>
      <c r="D25" s="152" t="n">
        <v>13</v>
      </c>
      <c r="E25" s="153">
        <f>"-"&amp;TEXT(ROUND(D25*Config!C10,1),"0.0")</f>
        <v/>
      </c>
      <c r="F25" s="154">
        <f>ROUND(D25*(1-Config!C10),1)</f>
        <v/>
      </c>
      <c r="G25" s="159" t="inlineStr">
        <is>
          <t>-2</t>
        </is>
      </c>
      <c r="H25" s="29">
        <f>ROUND(F25-G25,1)</f>
        <v/>
      </c>
      <c r="I25" s="29">
        <f>ROUND(H25-C25,1)</f>
        <v/>
      </c>
      <c r="J25" s="160" t="inlineStr">
        <is>
          <t>Safe - 2 agents on break</t>
        </is>
      </c>
      <c r="K25" s="30">
        <f>IF(I25&gt;=4,"Comfortable",IF(I25&gt;=1,"Good",IF(I25&gt;=0,"Tight",IF(I25&gt;=-2,"Under","Critical"))))</f>
        <v/>
      </c>
    </row>
    <row r="26" ht="17" customHeight="1">
      <c r="A26" s="18" t="inlineStr">
        <is>
          <t>11:00</t>
        </is>
      </c>
      <c r="B26" s="151" t="n">
        <v>68</v>
      </c>
      <c r="C26" s="27">
        <f>ROUND(B26*Config!C6/Config!C8/Config!C7,1)</f>
        <v/>
      </c>
      <c r="D26" s="152" t="n">
        <v>13</v>
      </c>
      <c r="E26" s="153">
        <f>"-"&amp;TEXT(ROUND(D26*Config!C10,1),"0.0")</f>
        <v/>
      </c>
      <c r="F26" s="154">
        <f>ROUND(D26*(1-Config!C10),1)</f>
        <v/>
      </c>
      <c r="G26" s="159" t="inlineStr">
        <is>
          <t>-2</t>
        </is>
      </c>
      <c r="H26" s="29">
        <f>ROUND(F26-G26,1)</f>
        <v/>
      </c>
      <c r="I26" s="29">
        <f>ROUND(H26-C26,1)</f>
        <v/>
      </c>
      <c r="J26" s="160" t="inlineStr">
        <is>
          <t>Safe - 2 agents on break</t>
        </is>
      </c>
      <c r="K26" s="30">
        <f>IF(I26&gt;=4,"Comfortable",IF(I26&gt;=1,"Good",IF(I26&gt;=0,"Tight",IF(I26&gt;=-2,"Under","Critical"))))</f>
        <v/>
      </c>
    </row>
    <row r="27" ht="17" customHeight="1">
      <c r="A27" s="18" t="inlineStr">
        <is>
          <t>11:30</t>
        </is>
      </c>
      <c r="B27" s="151" t="n">
        <v>70</v>
      </c>
      <c r="C27" s="27">
        <f>ROUND(B27*Config!C6/Config!C8/Config!C7,1)</f>
        <v/>
      </c>
      <c r="D27" s="152" t="n">
        <v>13</v>
      </c>
      <c r="E27" s="153">
        <f>"-"&amp;TEXT(ROUND(D27*Config!C10,1),"0.0")</f>
        <v/>
      </c>
      <c r="F27" s="154">
        <f>ROUND(D27*(1-Config!C10),1)</f>
        <v/>
      </c>
      <c r="G27" s="159" t="inlineStr">
        <is>
          <t>-2</t>
        </is>
      </c>
      <c r="H27" s="29">
        <f>ROUND(F27-G27,1)</f>
        <v/>
      </c>
      <c r="I27" s="29">
        <f>ROUND(H27-C27,1)</f>
        <v/>
      </c>
      <c r="J27" s="160" t="inlineStr">
        <is>
          <t>Safe - 2 agents on break</t>
        </is>
      </c>
      <c r="K27" s="30">
        <f>IF(I27&gt;=4,"Comfortable",IF(I27&gt;=1,"Good",IF(I27&gt;=0,"Tight",IF(I27&gt;=-2,"Under","Critical"))))</f>
        <v/>
      </c>
    </row>
    <row r="28" ht="17" customHeight="1">
      <c r="A28" s="18" t="inlineStr">
        <is>
          <t>12:00</t>
        </is>
      </c>
      <c r="B28" s="151" t="n">
        <v>60</v>
      </c>
      <c r="C28" s="27">
        <f>ROUND(B28*Config!C6/Config!C8/Config!C7,1)</f>
        <v/>
      </c>
      <c r="D28" s="152" t="n">
        <v>13</v>
      </c>
      <c r="E28" s="153">
        <f>"-"&amp;TEXT(ROUND(D28*Config!C10,1),"0.0")</f>
        <v/>
      </c>
      <c r="F28" s="154">
        <f>ROUND(D28*(1-Config!C10),1)</f>
        <v/>
      </c>
      <c r="G28" s="159" t="inlineStr">
        <is>
          <t>-2</t>
        </is>
      </c>
      <c r="H28" s="29">
        <f>ROUND(F28-G28,1)</f>
        <v/>
      </c>
      <c r="I28" s="29">
        <f>ROUND(H28-C28,1)</f>
        <v/>
      </c>
      <c r="J28" s="160" t="inlineStr">
        <is>
          <t>Safe - 2 agents on break</t>
        </is>
      </c>
      <c r="K28" s="30">
        <f>IF(I28&gt;=4,"Comfortable",IF(I28&gt;=1,"Good",IF(I28&gt;=0,"Tight",IF(I28&gt;=-2,"Under","Critical"))))</f>
        <v/>
      </c>
    </row>
    <row r="29" ht="17" customHeight="1">
      <c r="A29" s="18" t="inlineStr">
        <is>
          <t>12:30</t>
        </is>
      </c>
      <c r="B29" s="151" t="n">
        <v>72</v>
      </c>
      <c r="C29" s="27">
        <f>ROUND(B29*Config!C6/Config!C8/Config!C7,1)</f>
        <v/>
      </c>
      <c r="D29" s="152" t="n">
        <v>13</v>
      </c>
      <c r="E29" s="153">
        <f>"-"&amp;TEXT(ROUND(D29*Config!C10,1),"0.0")</f>
        <v/>
      </c>
      <c r="F29" s="154">
        <f>ROUND(D29*(1-Config!C10),1)</f>
        <v/>
      </c>
      <c r="G29" s="159" t="inlineStr">
        <is>
          <t>-2</t>
        </is>
      </c>
      <c r="H29" s="29">
        <f>ROUND(F29-G29,1)</f>
        <v/>
      </c>
      <c r="I29" s="29">
        <f>ROUND(H29-C29,1)</f>
        <v/>
      </c>
      <c r="J29" s="160" t="inlineStr">
        <is>
          <t>Safe - 2 agents on break</t>
        </is>
      </c>
      <c r="K29" s="30">
        <f>IF(I29&gt;=4,"Comfortable",IF(I29&gt;=1,"Good",IF(I29&gt;=0,"Tight",IF(I29&gt;=-2,"Under","Critical"))))</f>
        <v/>
      </c>
    </row>
    <row r="30" ht="17" customHeight="1">
      <c r="A30" s="18" t="inlineStr">
        <is>
          <t>13:00</t>
        </is>
      </c>
      <c r="B30" s="151" t="n">
        <v>66</v>
      </c>
      <c r="C30" s="27">
        <f>ROUND(B30*Config!C6/Config!C8/Config!C7,1)</f>
        <v/>
      </c>
      <c r="D30" s="152" t="n">
        <v>13</v>
      </c>
      <c r="E30" s="153">
        <f>"-"&amp;TEXT(ROUND(D30*Config!C10,1),"0.0")</f>
        <v/>
      </c>
      <c r="F30" s="154">
        <f>ROUND(D30*(1-Config!C10),1)</f>
        <v/>
      </c>
      <c r="G30" s="159" t="inlineStr">
        <is>
          <t>-2</t>
        </is>
      </c>
      <c r="H30" s="29">
        <f>ROUND(F30-G30,1)</f>
        <v/>
      </c>
      <c r="I30" s="29">
        <f>ROUND(H30-C30,1)</f>
        <v/>
      </c>
      <c r="J30" s="160" t="inlineStr">
        <is>
          <t>Safe - 2 agents on break</t>
        </is>
      </c>
      <c r="K30" s="30">
        <f>IF(I30&gt;=4,"Comfortable",IF(I30&gt;=1,"Good",IF(I30&gt;=0,"Tight",IF(I30&gt;=-2,"Under","Critical"))))</f>
        <v/>
      </c>
    </row>
    <row r="31" ht="17" customHeight="1">
      <c r="A31" s="18" t="inlineStr">
        <is>
          <t>13:30</t>
        </is>
      </c>
      <c r="B31" s="151" t="n">
        <v>68</v>
      </c>
      <c r="C31" s="27">
        <f>ROUND(B31*Config!C6/Config!C8/Config!C7,1)</f>
        <v/>
      </c>
      <c r="D31" s="152" t="n">
        <v>13</v>
      </c>
      <c r="E31" s="153">
        <f>"-"&amp;TEXT(ROUND(D31*Config!C10,1),"0.0")</f>
        <v/>
      </c>
      <c r="F31" s="154">
        <f>ROUND(D31*(1-Config!C10),1)</f>
        <v/>
      </c>
      <c r="G31" s="159" t="inlineStr">
        <is>
          <t>-2</t>
        </is>
      </c>
      <c r="H31" s="29">
        <f>ROUND(F31-G31,1)</f>
        <v/>
      </c>
      <c r="I31" s="29">
        <f>ROUND(H31-C31,1)</f>
        <v/>
      </c>
      <c r="J31" s="160" t="inlineStr">
        <is>
          <t>Safe - 2 agents on break</t>
        </is>
      </c>
      <c r="K31" s="30">
        <f>IF(I31&gt;=4,"Comfortable",IF(I31&gt;=1,"Good",IF(I31&gt;=0,"Tight",IF(I31&gt;=-2,"Under","Critical"))))</f>
        <v/>
      </c>
    </row>
    <row r="32" ht="17" customHeight="1">
      <c r="A32" s="18" t="inlineStr">
        <is>
          <t>14:00</t>
        </is>
      </c>
      <c r="B32" s="151" t="n">
        <v>69</v>
      </c>
      <c r="C32" s="27">
        <f>ROUND(B32*Config!C6/Config!C8/Config!C7,1)</f>
        <v/>
      </c>
      <c r="D32" s="152" t="n">
        <v>13</v>
      </c>
      <c r="E32" s="153">
        <f>"-"&amp;TEXT(ROUND(D32*Config!C10,1),"0.0")</f>
        <v/>
      </c>
      <c r="F32" s="154">
        <f>ROUND(D32*(1-Config!C10),1)</f>
        <v/>
      </c>
      <c r="G32" s="159" t="inlineStr">
        <is>
          <t>-2</t>
        </is>
      </c>
      <c r="H32" s="29">
        <f>ROUND(F32-G32,1)</f>
        <v/>
      </c>
      <c r="I32" s="29">
        <f>ROUND(H32-C32,1)</f>
        <v/>
      </c>
      <c r="J32" s="160" t="inlineStr">
        <is>
          <t>Safe - 2 agents on break</t>
        </is>
      </c>
      <c r="K32" s="30">
        <f>IF(I32&gt;=4,"Comfortable",IF(I32&gt;=1,"Good",IF(I32&gt;=0,"Tight",IF(I32&gt;=-2,"Under","Critical"))))</f>
        <v/>
      </c>
    </row>
    <row r="33" ht="17" customHeight="1">
      <c r="A33" s="18" t="inlineStr">
        <is>
          <t>14:30</t>
        </is>
      </c>
      <c r="B33" s="151" t="n">
        <v>69</v>
      </c>
      <c r="C33" s="27">
        <f>ROUND(B33*Config!C6/Config!C8/Config!C7,1)</f>
        <v/>
      </c>
      <c r="D33" s="152" t="n">
        <v>13</v>
      </c>
      <c r="E33" s="153">
        <f>"-"&amp;TEXT(ROUND(D33*Config!C10,1),"0.0")</f>
        <v/>
      </c>
      <c r="F33" s="154">
        <f>ROUND(D33*(1-Config!C10),1)</f>
        <v/>
      </c>
      <c r="G33" s="159" t="inlineStr">
        <is>
          <t>-2</t>
        </is>
      </c>
      <c r="H33" s="29">
        <f>ROUND(F33-G33,1)</f>
        <v/>
      </c>
      <c r="I33" s="29">
        <f>ROUND(H33-C33,1)</f>
        <v/>
      </c>
      <c r="J33" s="160" t="inlineStr">
        <is>
          <t>Safe - 2 agents on break</t>
        </is>
      </c>
      <c r="K33" s="30">
        <f>IF(I33&gt;=4,"Comfortable",IF(I33&gt;=1,"Good",IF(I33&gt;=0,"Tight",IF(I33&gt;=-2,"Under","Critical"))))</f>
        <v/>
      </c>
    </row>
    <row r="34" ht="17" customHeight="1">
      <c r="A34" s="18" t="inlineStr">
        <is>
          <t>15:00</t>
        </is>
      </c>
      <c r="B34" s="151" t="n">
        <v>82</v>
      </c>
      <c r="C34" s="27">
        <f>ROUND(B34*Config!C6/Config!C8/Config!C7,1)</f>
        <v/>
      </c>
      <c r="D34" s="152" t="n">
        <v>23</v>
      </c>
      <c r="E34" s="153">
        <f>"-"&amp;TEXT(ROUND(D34*Config!C10,1),"0.0")</f>
        <v/>
      </c>
      <c r="F34" s="154">
        <f>ROUND(D34*(1-Config!C10),1)</f>
        <v/>
      </c>
      <c r="G34" s="157" t="inlineStr">
        <is>
          <t>-1</t>
        </is>
      </c>
      <c r="H34" s="29">
        <f>ROUND(F34-G34,1)</f>
        <v/>
      </c>
      <c r="I34" s="29">
        <f>ROUND(H34-C34,1)</f>
        <v/>
      </c>
      <c r="J34" s="158" t="inlineStr">
        <is>
          <t>Max 1 agent on break</t>
        </is>
      </c>
      <c r="K34" s="30">
        <f>IF(I34&gt;=4,"Comfortable",IF(I34&gt;=1,"Good",IF(I34&gt;=0,"Tight",IF(I34&gt;=-2,"Under","Critical"))))</f>
        <v/>
      </c>
    </row>
    <row r="35" ht="17" customHeight="1">
      <c r="A35" s="18" t="inlineStr">
        <is>
          <t>15:30</t>
        </is>
      </c>
      <c r="B35" s="151" t="n">
        <v>92</v>
      </c>
      <c r="C35" s="27">
        <f>ROUND(B35*Config!C6/Config!C8/Config!C7,1)</f>
        <v/>
      </c>
      <c r="D35" s="152" t="n">
        <v>23</v>
      </c>
      <c r="E35" s="153">
        <f>"-"&amp;TEXT(ROUND(D35*Config!C10,1),"0.0")</f>
        <v/>
      </c>
      <c r="F35" s="154">
        <f>ROUND(D35*(1-Config!C10),1)</f>
        <v/>
      </c>
      <c r="G35" s="155" t="inlineStr">
        <is>
          <t>0</t>
        </is>
      </c>
      <c r="H35" s="29">
        <f>ROUND(F35-G35,1)</f>
        <v/>
      </c>
      <c r="I35" s="29">
        <f>ROUND(H35-C35,1)</f>
        <v/>
      </c>
      <c r="J35" s="156" t="inlineStr">
        <is>
          <t>Block - peak slot</t>
        </is>
      </c>
      <c r="K35" s="30">
        <f>IF(I35&gt;=4,"Comfortable",IF(I35&gt;=1,"Good",IF(I35&gt;=0,"Tight",IF(I35&gt;=-2,"Under","Critical"))))</f>
        <v/>
      </c>
    </row>
    <row r="36" ht="17" customHeight="1">
      <c r="A36" s="18" t="inlineStr">
        <is>
          <t>16:00</t>
        </is>
      </c>
      <c r="B36" s="151" t="n">
        <v>93</v>
      </c>
      <c r="C36" s="27">
        <f>ROUND(B36*Config!C6/Config!C8/Config!C7,1)</f>
        <v/>
      </c>
      <c r="D36" s="152" t="n">
        <v>10</v>
      </c>
      <c r="E36" s="153">
        <f>"-"&amp;TEXT(ROUND(D36*Config!C10,1),"0.0")</f>
        <v/>
      </c>
      <c r="F36" s="154">
        <f>ROUND(D36*(1-Config!C10),1)</f>
        <v/>
      </c>
      <c r="G36" s="155" t="inlineStr">
        <is>
          <t>0</t>
        </is>
      </c>
      <c r="H36" s="29">
        <f>ROUND(F36-G36,1)</f>
        <v/>
      </c>
      <c r="I36" s="29">
        <f>ROUND(H36-C36,1)</f>
        <v/>
      </c>
      <c r="J36" s="156" t="inlineStr">
        <is>
          <t>Block - peak slot</t>
        </is>
      </c>
      <c r="K36" s="30">
        <f>IF(I36&gt;=4,"Comfortable",IF(I36&gt;=1,"Good",IF(I36&gt;=0,"Tight",IF(I36&gt;=-2,"Under","Critical"))))</f>
        <v/>
      </c>
    </row>
    <row r="37" ht="17" customHeight="1">
      <c r="A37" s="18" t="inlineStr">
        <is>
          <t>16:30</t>
        </is>
      </c>
      <c r="B37" s="151" t="n">
        <v>91</v>
      </c>
      <c r="C37" s="27">
        <f>ROUND(B37*Config!C6/Config!C8/Config!C7,1)</f>
        <v/>
      </c>
      <c r="D37" s="152" t="n">
        <v>10</v>
      </c>
      <c r="E37" s="153">
        <f>"-"&amp;TEXT(ROUND(D37*Config!C10,1),"0.0")</f>
        <v/>
      </c>
      <c r="F37" s="154">
        <f>ROUND(D37*(1-Config!C10),1)</f>
        <v/>
      </c>
      <c r="G37" s="155" t="inlineStr">
        <is>
          <t>0</t>
        </is>
      </c>
      <c r="H37" s="29">
        <f>ROUND(F37-G37,1)</f>
        <v/>
      </c>
      <c r="I37" s="29">
        <f>ROUND(H37-C37,1)</f>
        <v/>
      </c>
      <c r="J37" s="156" t="inlineStr">
        <is>
          <t>Block - peak slot</t>
        </is>
      </c>
      <c r="K37" s="30">
        <f>IF(I37&gt;=4,"Comfortable",IF(I37&gt;=1,"Good",IF(I37&gt;=0,"Tight",IF(I37&gt;=-2,"Under","Critical"))))</f>
        <v/>
      </c>
    </row>
    <row r="38" ht="17" customHeight="1">
      <c r="A38" s="18" t="inlineStr">
        <is>
          <t>17:00</t>
        </is>
      </c>
      <c r="B38" s="151" t="n">
        <v>97</v>
      </c>
      <c r="C38" s="27">
        <f>ROUND(B38*Config!C6/Config!C8/Config!C7,1)</f>
        <v/>
      </c>
      <c r="D38" s="152" t="n">
        <v>10</v>
      </c>
      <c r="E38" s="153">
        <f>"-"&amp;TEXT(ROUND(D38*Config!C10,1),"0.0")</f>
        <v/>
      </c>
      <c r="F38" s="154">
        <f>ROUND(D38*(1-Config!C10),1)</f>
        <v/>
      </c>
      <c r="G38" s="155" t="inlineStr">
        <is>
          <t>0</t>
        </is>
      </c>
      <c r="H38" s="29">
        <f>ROUND(F38-G38,1)</f>
        <v/>
      </c>
      <c r="I38" s="29">
        <f>ROUND(H38-C38,1)</f>
        <v/>
      </c>
      <c r="J38" s="156" t="inlineStr">
        <is>
          <t>Block - peak slot</t>
        </is>
      </c>
      <c r="K38" s="30">
        <f>IF(I38&gt;=4,"Comfortable",IF(I38&gt;=1,"Good",IF(I38&gt;=0,"Tight",IF(I38&gt;=-2,"Under","Critical"))))</f>
        <v/>
      </c>
    </row>
    <row r="39" ht="17" customHeight="1">
      <c r="A39" s="18" t="inlineStr">
        <is>
          <t>17:30</t>
        </is>
      </c>
      <c r="B39" s="151" t="n">
        <v>103</v>
      </c>
      <c r="C39" s="27">
        <f>ROUND(B39*Config!C6/Config!C8/Config!C7,1)</f>
        <v/>
      </c>
      <c r="D39" s="152" t="n">
        <v>10</v>
      </c>
      <c r="E39" s="153">
        <f>"-"&amp;TEXT(ROUND(D39*Config!C10,1),"0.0")</f>
        <v/>
      </c>
      <c r="F39" s="154">
        <f>ROUND(D39*(1-Config!C10),1)</f>
        <v/>
      </c>
      <c r="G39" s="155" t="inlineStr">
        <is>
          <t>0</t>
        </is>
      </c>
      <c r="H39" s="29">
        <f>ROUND(F39-G39,1)</f>
        <v/>
      </c>
      <c r="I39" s="29">
        <f>ROUND(H39-C39,1)</f>
        <v/>
      </c>
      <c r="J39" s="156" t="inlineStr">
        <is>
          <t>Block - peak slot</t>
        </is>
      </c>
      <c r="K39" s="30">
        <f>IF(I39&gt;=4,"Comfortable",IF(I39&gt;=1,"Good",IF(I39&gt;=0,"Tight",IF(I39&gt;=-2,"Under","Critical"))))</f>
        <v/>
      </c>
    </row>
    <row r="40" ht="17" customHeight="1">
      <c r="A40" s="18" t="inlineStr">
        <is>
          <t>18:00</t>
        </is>
      </c>
      <c r="B40" s="151" t="n">
        <v>110</v>
      </c>
      <c r="C40" s="27">
        <f>ROUND(B40*Config!C6/Config!C8/Config!C7,1)</f>
        <v/>
      </c>
      <c r="D40" s="152" t="n">
        <v>20</v>
      </c>
      <c r="E40" s="153">
        <f>"-"&amp;TEXT(ROUND(D40*Config!C10,1),"0.0")</f>
        <v/>
      </c>
      <c r="F40" s="154">
        <f>ROUND(D40*(1-Config!C10),1)</f>
        <v/>
      </c>
      <c r="G40" s="155" t="inlineStr">
        <is>
          <t>0</t>
        </is>
      </c>
      <c r="H40" s="29">
        <f>ROUND(F40-G40,1)</f>
        <v/>
      </c>
      <c r="I40" s="29">
        <f>ROUND(H40-C40,1)</f>
        <v/>
      </c>
      <c r="J40" s="156" t="inlineStr">
        <is>
          <t>Block - peak slot</t>
        </is>
      </c>
      <c r="K40" s="30">
        <f>IF(I40&gt;=4,"Comfortable",IF(I40&gt;=1,"Good",IF(I40&gt;=0,"Tight",IF(I40&gt;=-2,"Under","Critical"))))</f>
        <v/>
      </c>
    </row>
    <row r="41" ht="17" customHeight="1">
      <c r="A41" s="18" t="inlineStr">
        <is>
          <t>18:30</t>
        </is>
      </c>
      <c r="B41" s="151" t="n">
        <v>108</v>
      </c>
      <c r="C41" s="27">
        <f>ROUND(B41*Config!C6/Config!C8/Config!C7,1)</f>
        <v/>
      </c>
      <c r="D41" s="152" t="n">
        <v>20</v>
      </c>
      <c r="E41" s="153">
        <f>"-"&amp;TEXT(ROUND(D41*Config!C10,1),"0.0")</f>
        <v/>
      </c>
      <c r="F41" s="154">
        <f>ROUND(D41*(1-Config!C10),1)</f>
        <v/>
      </c>
      <c r="G41" s="155" t="inlineStr">
        <is>
          <t>0</t>
        </is>
      </c>
      <c r="H41" s="29">
        <f>ROUND(F41-G41,1)</f>
        <v/>
      </c>
      <c r="I41" s="29">
        <f>ROUND(H41-C41,1)</f>
        <v/>
      </c>
      <c r="J41" s="156" t="inlineStr">
        <is>
          <t>Block - peak slot</t>
        </is>
      </c>
      <c r="K41" s="30">
        <f>IF(I41&gt;=4,"Comfortable",IF(I41&gt;=1,"Good",IF(I41&gt;=0,"Tight",IF(I41&gt;=-2,"Under","Critical"))))</f>
        <v/>
      </c>
    </row>
    <row r="42" ht="17" customHeight="1">
      <c r="A42" s="18" t="inlineStr">
        <is>
          <t>19:00</t>
        </is>
      </c>
      <c r="B42" s="151" t="n">
        <v>105</v>
      </c>
      <c r="C42" s="27">
        <f>ROUND(B42*Config!C6/Config!C8/Config!C7,1)</f>
        <v/>
      </c>
      <c r="D42" s="152" t="n">
        <v>20</v>
      </c>
      <c r="E42" s="153">
        <f>"-"&amp;TEXT(ROUND(D42*Config!C10,1),"0.0")</f>
        <v/>
      </c>
      <c r="F42" s="154">
        <f>ROUND(D42*(1-Config!C10),1)</f>
        <v/>
      </c>
      <c r="G42" s="155" t="inlineStr">
        <is>
          <t>0</t>
        </is>
      </c>
      <c r="H42" s="29">
        <f>ROUND(F42-G42,1)</f>
        <v/>
      </c>
      <c r="I42" s="29">
        <f>ROUND(H42-C42,1)</f>
        <v/>
      </c>
      <c r="J42" s="156" t="inlineStr">
        <is>
          <t>Block - peak slot</t>
        </is>
      </c>
      <c r="K42" s="30">
        <f>IF(I42&gt;=4,"Comfortable",IF(I42&gt;=1,"Good",IF(I42&gt;=0,"Tight",IF(I42&gt;=-2,"Under","Critical"))))</f>
        <v/>
      </c>
    </row>
    <row r="43" ht="17" customHeight="1">
      <c r="A43" s="18" t="inlineStr">
        <is>
          <t>19:30</t>
        </is>
      </c>
      <c r="B43" s="151" t="n">
        <v>111</v>
      </c>
      <c r="C43" s="27">
        <f>ROUND(B43*Config!C6/Config!C8/Config!C7,1)</f>
        <v/>
      </c>
      <c r="D43" s="152" t="n">
        <v>20</v>
      </c>
      <c r="E43" s="153">
        <f>"-"&amp;TEXT(ROUND(D43*Config!C10,1),"0.0")</f>
        <v/>
      </c>
      <c r="F43" s="154">
        <f>ROUND(D43*(1-Config!C10),1)</f>
        <v/>
      </c>
      <c r="G43" s="155" t="inlineStr">
        <is>
          <t>0</t>
        </is>
      </c>
      <c r="H43" s="29">
        <f>ROUND(F43-G43,1)</f>
        <v/>
      </c>
      <c r="I43" s="29">
        <f>ROUND(H43-C43,1)</f>
        <v/>
      </c>
      <c r="J43" s="156" t="inlineStr">
        <is>
          <t>Block - peak slot</t>
        </is>
      </c>
      <c r="K43" s="30">
        <f>IF(I43&gt;=4,"Comfortable",IF(I43&gt;=1,"Good",IF(I43&gt;=0,"Tight",IF(I43&gt;=-2,"Under","Critical"))))</f>
        <v/>
      </c>
    </row>
    <row r="44" ht="17" customHeight="1">
      <c r="A44" s="18" t="inlineStr">
        <is>
          <t>20:00</t>
        </is>
      </c>
      <c r="B44" s="151" t="n">
        <v>105</v>
      </c>
      <c r="C44" s="27">
        <f>ROUND(B44*Config!C6/Config!C8/Config!C7,1)</f>
        <v/>
      </c>
      <c r="D44" s="152" t="n">
        <v>20</v>
      </c>
      <c r="E44" s="153">
        <f>"-"&amp;TEXT(ROUND(D44*Config!C10,1),"0.0")</f>
        <v/>
      </c>
      <c r="F44" s="154">
        <f>ROUND(D44*(1-Config!C10),1)</f>
        <v/>
      </c>
      <c r="G44" s="155" t="inlineStr">
        <is>
          <t>0</t>
        </is>
      </c>
      <c r="H44" s="29">
        <f>ROUND(F44-G44,1)</f>
        <v/>
      </c>
      <c r="I44" s="29">
        <f>ROUND(H44-C44,1)</f>
        <v/>
      </c>
      <c r="J44" s="156" t="inlineStr">
        <is>
          <t>Block - peak slot</t>
        </is>
      </c>
      <c r="K44" s="30">
        <f>IF(I44&gt;=4,"Comfortable",IF(I44&gt;=1,"Good",IF(I44&gt;=0,"Tight",IF(I44&gt;=-2,"Under","Critical"))))</f>
        <v/>
      </c>
    </row>
    <row r="45" ht="17" customHeight="1">
      <c r="A45" s="18" t="inlineStr">
        <is>
          <t>20:30</t>
        </is>
      </c>
      <c r="B45" s="151" t="n">
        <v>115</v>
      </c>
      <c r="C45" s="27">
        <f>ROUND(B45*Config!C6/Config!C8/Config!C7,1)</f>
        <v/>
      </c>
      <c r="D45" s="152" t="n">
        <v>20</v>
      </c>
      <c r="E45" s="153">
        <f>"-"&amp;TEXT(ROUND(D45*Config!C10,1),"0.0")</f>
        <v/>
      </c>
      <c r="F45" s="154">
        <f>ROUND(D45*(1-Config!C10),1)</f>
        <v/>
      </c>
      <c r="G45" s="155" t="inlineStr">
        <is>
          <t>0</t>
        </is>
      </c>
      <c r="H45" s="29">
        <f>ROUND(F45-G45,1)</f>
        <v/>
      </c>
      <c r="I45" s="29">
        <f>ROUND(H45-C45,1)</f>
        <v/>
      </c>
      <c r="J45" s="156" t="inlineStr">
        <is>
          <t>Block - peak slot</t>
        </is>
      </c>
      <c r="K45" s="30">
        <f>IF(I45&gt;=4,"Comfortable",IF(I45&gt;=1,"Good",IF(I45&gt;=0,"Tight",IF(I45&gt;=-2,"Under","Critical"))))</f>
        <v/>
      </c>
    </row>
    <row r="46" ht="17" customHeight="1">
      <c r="A46" s="18" t="inlineStr">
        <is>
          <t>21:00</t>
        </is>
      </c>
      <c r="B46" s="151" t="n">
        <v>98</v>
      </c>
      <c r="C46" s="27">
        <f>ROUND(B46*Config!C6/Config!C8/Config!C7,1)</f>
        <v/>
      </c>
      <c r="D46" s="152" t="n">
        <v>20</v>
      </c>
      <c r="E46" s="153">
        <f>"-"&amp;TEXT(ROUND(D46*Config!C10,1),"0.0")</f>
        <v/>
      </c>
      <c r="F46" s="154">
        <f>ROUND(D46*(1-Config!C10),1)</f>
        <v/>
      </c>
      <c r="G46" s="155" t="inlineStr">
        <is>
          <t>0</t>
        </is>
      </c>
      <c r="H46" s="29">
        <f>ROUND(F46-G46,1)</f>
        <v/>
      </c>
      <c r="I46" s="29">
        <f>ROUND(H46-C46,1)</f>
        <v/>
      </c>
      <c r="J46" s="156" t="inlineStr">
        <is>
          <t>Block - peak slot</t>
        </is>
      </c>
      <c r="K46" s="30">
        <f>IF(I46&gt;=4,"Comfortable",IF(I46&gt;=1,"Good",IF(I46&gt;=0,"Tight",IF(I46&gt;=-2,"Under","Critical"))))</f>
        <v/>
      </c>
    </row>
    <row r="47" ht="17" customHeight="1">
      <c r="A47" s="18" t="inlineStr">
        <is>
          <t>21:30</t>
        </is>
      </c>
      <c r="B47" s="151" t="n">
        <v>97</v>
      </c>
      <c r="C47" s="27">
        <f>ROUND(B47*Config!C6/Config!C8/Config!C7,1)</f>
        <v/>
      </c>
      <c r="D47" s="152" t="n">
        <v>20</v>
      </c>
      <c r="E47" s="153">
        <f>"-"&amp;TEXT(ROUND(D47*Config!C10,1),"0.0")</f>
        <v/>
      </c>
      <c r="F47" s="154">
        <f>ROUND(D47*(1-Config!C10),1)</f>
        <v/>
      </c>
      <c r="G47" s="155" t="inlineStr">
        <is>
          <t>0</t>
        </is>
      </c>
      <c r="H47" s="29">
        <f>ROUND(F47-G47,1)</f>
        <v/>
      </c>
      <c r="I47" s="29">
        <f>ROUND(H47-C47,1)</f>
        <v/>
      </c>
      <c r="J47" s="156" t="inlineStr">
        <is>
          <t>Block - peak slot</t>
        </is>
      </c>
      <c r="K47" s="30">
        <f>IF(I47&gt;=4,"Comfortable",IF(I47&gt;=1,"Good",IF(I47&gt;=0,"Tight",IF(I47&gt;=-2,"Under","Critical"))))</f>
        <v/>
      </c>
    </row>
    <row r="48" ht="17" customHeight="1">
      <c r="A48" s="18" t="inlineStr">
        <is>
          <t>22:00</t>
        </is>
      </c>
      <c r="B48" s="151" t="n">
        <v>104</v>
      </c>
      <c r="C48" s="27">
        <f>ROUND(B48*Config!C6/Config!C8/Config!C7,1)</f>
        <v/>
      </c>
      <c r="D48" s="152" t="n">
        <v>20</v>
      </c>
      <c r="E48" s="153">
        <f>"-"&amp;TEXT(ROUND(D48*Config!C10,1),"0.0")</f>
        <v/>
      </c>
      <c r="F48" s="154">
        <f>ROUND(D48*(1-Config!C10),1)</f>
        <v/>
      </c>
      <c r="G48" s="155" t="inlineStr">
        <is>
          <t>0</t>
        </is>
      </c>
      <c r="H48" s="29">
        <f>ROUND(F48-G48,1)</f>
        <v/>
      </c>
      <c r="I48" s="29">
        <f>ROUND(H48-C48,1)</f>
        <v/>
      </c>
      <c r="J48" s="156" t="inlineStr">
        <is>
          <t>Block - peak slot</t>
        </is>
      </c>
      <c r="K48" s="30">
        <f>IF(I48&gt;=4,"Comfortable",IF(I48&gt;=1,"Good",IF(I48&gt;=0,"Tight",IF(I48&gt;=-2,"Under","Critical"))))</f>
        <v/>
      </c>
    </row>
    <row r="49" ht="17" customHeight="1">
      <c r="A49" s="18" t="inlineStr">
        <is>
          <t>22:30</t>
        </is>
      </c>
      <c r="B49" s="151" t="n">
        <v>102</v>
      </c>
      <c r="C49" s="27">
        <f>ROUND(B49*Config!C6/Config!C8/Config!C7,1)</f>
        <v/>
      </c>
      <c r="D49" s="152" t="n">
        <v>20</v>
      </c>
      <c r="E49" s="153">
        <f>"-"&amp;TEXT(ROUND(D49*Config!C10,1),"0.0")</f>
        <v/>
      </c>
      <c r="F49" s="154">
        <f>ROUND(D49*(1-Config!C10),1)</f>
        <v/>
      </c>
      <c r="G49" s="155" t="inlineStr">
        <is>
          <t>0</t>
        </is>
      </c>
      <c r="H49" s="29">
        <f>ROUND(F49-G49,1)</f>
        <v/>
      </c>
      <c r="I49" s="29">
        <f>ROUND(H49-C49,1)</f>
        <v/>
      </c>
      <c r="J49" s="156" t="inlineStr">
        <is>
          <t>Block - peak slot</t>
        </is>
      </c>
      <c r="K49" s="30">
        <f>IF(I49&gt;=4,"Comfortable",IF(I49&gt;=1,"Good",IF(I49&gt;=0,"Tight",IF(I49&gt;=-2,"Under","Critical"))))</f>
        <v/>
      </c>
    </row>
    <row r="50" ht="17" customHeight="1">
      <c r="A50" s="18" t="inlineStr">
        <is>
          <t>23:00</t>
        </is>
      </c>
      <c r="B50" s="151" t="n">
        <v>111</v>
      </c>
      <c r="C50" s="27">
        <f>ROUND(B50*Config!C6/Config!C8/Config!C7,1)</f>
        <v/>
      </c>
      <c r="D50" s="152" t="n">
        <v>26</v>
      </c>
      <c r="E50" s="153">
        <f>"-"&amp;TEXT(ROUND(D50*Config!C10,1),"0.0")</f>
        <v/>
      </c>
      <c r="F50" s="154">
        <f>ROUND(D50*(1-Config!C10),1)</f>
        <v/>
      </c>
      <c r="G50" s="155" t="inlineStr">
        <is>
          <t>0</t>
        </is>
      </c>
      <c r="H50" s="29">
        <f>ROUND(F50-G50,1)</f>
        <v/>
      </c>
      <c r="I50" s="29">
        <f>ROUND(H50-C50,1)</f>
        <v/>
      </c>
      <c r="J50" s="156" t="inlineStr">
        <is>
          <t>Block - peak slot</t>
        </is>
      </c>
      <c r="K50" s="30">
        <f>IF(I50&gt;=4,"Comfortable",IF(I50&gt;=1,"Good",IF(I50&gt;=0,"Tight",IF(I50&gt;=-2,"Under","Critical"))))</f>
        <v/>
      </c>
    </row>
    <row r="51" ht="17" customHeight="1">
      <c r="A51" s="18" t="inlineStr">
        <is>
          <t>23:30</t>
        </is>
      </c>
      <c r="B51" s="151" t="n">
        <v>109</v>
      </c>
      <c r="C51" s="27">
        <f>ROUND(B51*Config!C6/Config!C8/Config!C7,1)</f>
        <v/>
      </c>
      <c r="D51" s="152" t="n">
        <v>26</v>
      </c>
      <c r="E51" s="153">
        <f>"-"&amp;TEXT(ROUND(D51*Config!C10,1),"0.0")</f>
        <v/>
      </c>
      <c r="F51" s="154">
        <f>ROUND(D51*(1-Config!C10),1)</f>
        <v/>
      </c>
      <c r="G51" s="155" t="inlineStr">
        <is>
          <t>0</t>
        </is>
      </c>
      <c r="H51" s="29">
        <f>ROUND(F51-G51,1)</f>
        <v/>
      </c>
      <c r="I51" s="29">
        <f>ROUND(H51-C51,1)</f>
        <v/>
      </c>
      <c r="J51" s="156" t="inlineStr">
        <is>
          <t>Block - peak slot</t>
        </is>
      </c>
      <c r="K51" s="30">
        <f>IF(I51&gt;=4,"Comfortable",IF(I51&gt;=1,"Good",IF(I51&gt;=0,"Tight",IF(I51&gt;=-2,"Under","Critical"))))</f>
        <v/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2026-04-20T16:16:33Z</dcterms:created>
  <dcterms:modified xmlns:dcterms="http://purl.org/dc/terms/" xmlns:xsi="http://www.w3.org/2001/XMLSchema-instance" xsi:type="dcterms:W3CDTF">2026-04-20T16:16:33Z</dcterms:modified>
</cp:coreProperties>
</file>